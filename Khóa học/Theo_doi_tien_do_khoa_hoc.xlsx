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o lưu\Udemy\Khóa học\"/>
    </mc:Choice>
  </mc:AlternateContent>
  <xr:revisionPtr revIDLastSave="0" documentId="13_ncr:1_{465DC0BD-1FDD-4A32-83D6-68E7005F200A}" xr6:coauthVersionLast="47" xr6:coauthVersionMax="47" xr10:uidLastSave="{00000000-0000-0000-0000-000000000000}"/>
  <bookViews>
    <workbookView xWindow="-108" yWindow="-108" windowWidth="23256" windowHeight="12456" firstSheet="74" activeTab="79" xr2:uid="{15C2AD9A-C08F-44FE-A450-863861ACB9E5}"/>
  </bookViews>
  <sheets>
    <sheet name="TỔNG QUAN" sheetId="1" r:id="rId1"/>
    <sheet name="HƯỚNG DẪN" sheetId="2" r:id="rId2"/>
    <sheet name="C74 Tự học phát âm tiếng Anh" sheetId="77" r:id="rId3"/>
    <sheet name="MẪU_KHÓA_MỚI" sheetId="3" r:id="rId4"/>
    <sheet name="C73 Creative Writing- How to Wr" sheetId="76" r:id="rId5"/>
    <sheet name="C72 nutrition-masterclass-build" sheetId="75" r:id="rId6"/>
    <sheet name="C71 technical-writer-roadmap" sheetId="74" r:id="rId7"/>
    <sheet name="C70 devrel-roadmap" sheetId="73" r:id="rId8"/>
    <sheet name="C69 product-manager-roadmap" sheetId="72" r:id="rId9"/>
    <sheet name="C68 engineering-manager-roadmap" sheetId="71" r:id="rId10"/>
    <sheet name="C67 Khóa học Tiếng Hàn toàn diệ" sheetId="70" r:id="rId11"/>
    <sheet name="C66 Tiếng Đức giao tiếp từ A1 đ" sheetId="69" r:id="rId12"/>
    <sheet name="C65 Complete French Course — Kh" sheetId="68" r:id="rId13"/>
    <sheet name="C64 Learn Japanese for Beginner" sheetId="67" r:id="rId14"/>
    <sheet name="C63 Mandarin Mastery Path — Tiế" sheetId="66" r:id="rId15"/>
    <sheet name="C62 Khóa học Tiếng Trung — Giáo" sheetId="65" r:id="rId16"/>
    <sheet name="C61 Từ vựng tiếng Anh cơ bản" sheetId="64" r:id="rId17"/>
    <sheet name="C60 Tự học 2.000 từ vựng tiếng" sheetId="63" r:id="rId18"/>
    <sheet name="C59 The English Master Course-" sheetId="62" r:id="rId19"/>
    <sheet name="C58 Pixel Art Master Course - B" sheetId="61" r:id="rId20"/>
    <sheet name="C57 server-side-game-developer-" sheetId="60" r:id="rId21"/>
    <sheet name="C56 game-developer-roadmap" sheetId="59" r:id="rId22"/>
    <sheet name="C55 Indie Game Design - Build Y" sheetId="58" r:id="rId23"/>
    <sheet name="C54 Ren'Py Minigames 101" sheetId="57" r:id="rId24"/>
    <sheet name="C53 Python Basics for Ren'Py De" sheetId="56" r:id="rId25"/>
    <sheet name="C52 Mastering Ren'Py- Create Vi" sheetId="55" r:id="rId26"/>
    <sheet name="C51 Complete C# Unity 3D Game D" sheetId="54" r:id="rId27"/>
    <sheet name="C50 Complete C# Unity 2D Game D" sheetId="53" r:id="rId28"/>
    <sheet name="C49 05 - Cơ học &amp; thủy động lực" sheetId="52" r:id="rId29"/>
    <sheet name="C48 04 - Giải phẫu &amp; phát triển" sheetId="51" r:id="rId30"/>
    <sheet name="C47 03 - VFX &amp; mô phỏng Blender" sheetId="50" r:id="rId31"/>
    <sheet name="C46 02 - Animation cá trong Ble" sheetId="49" r:id="rId32"/>
    <sheet name="C45 01 - Blender tổng quát" sheetId="48" r:id="rId33"/>
    <sheet name="C44 From Figma to Cursor &amp; Clau" sheetId="47" r:id="rId34"/>
    <sheet name="C43 Converting Figma Designs to" sheetId="46" r:id="rId35"/>
    <sheet name="C42 Figma to Angular Mastery- D" sheetId="45" r:id="rId36"/>
    <sheet name="C41 Vibe-Coding Figma Design Sy" sheetId="44" r:id="rId37"/>
    <sheet name="C40 Design to Code with Figma M" sheetId="43" r:id="rId38"/>
    <sheet name="C39 Claude Code + Figma MCP Ser" sheetId="42" r:id="rId39"/>
    <sheet name="C38 The Complete Vibe coding fo" sheetId="41" r:id="rId40"/>
    <sheet name="C37 ux-design-roadmap" sheetId="40" r:id="rId41"/>
    <sheet name="C36 Design System &amp; Figma Varia" sheetId="39" r:id="rId42"/>
    <sheet name="C35 Build a Design System - Ful" sheetId="38" r:id="rId43"/>
    <sheet name="C34 blockchain-roadmap" sheetId="37" r:id="rId44"/>
    <sheet name="C33 devsecops-roadmap" sheetId="36" r:id="rId45"/>
    <sheet name="C32 Cyber Security Expert Roadm" sheetId="35" r:id="rId46"/>
    <sheet name="C31 network-engineer-roadmap" sheetId="34" r:id="rId47"/>
    <sheet name="C30 Fundamentals of Backend Com" sheetId="33" r:id="rId48"/>
    <sheet name="C29 qa-roadmap" sheetId="32" r:id="rId49"/>
    <sheet name="C28 software-architect-roadmap" sheetId="31" r:id="rId50"/>
    <sheet name="C27 Enterprise Integration Engi" sheetId="30" r:id="rId51"/>
    <sheet name="C26 ios-roadmap" sheetId="29" r:id="rId52"/>
    <sheet name="C25 Flutter &amp; Dart- The Complet" sheetId="28" r:id="rId53"/>
    <sheet name="C24 3-in-1 Flutter AI Mastercla" sheetId="27" r:id="rId54"/>
    <sheet name="C23 Android Developer Roadmap C" sheetId="26" r:id="rId55"/>
    <sheet name="C22 postgresql-dba-roadmap" sheetId="25" r:id="rId56"/>
    <sheet name="C21 NodeJS - The Complete Guide" sheetId="24" r:id="rId57"/>
    <sheet name="C20 full-stack-developer-roadma" sheetId="23" r:id="rId58"/>
    <sheet name="C19 frontend-developer-roadmap" sheetId="22" r:id="rId59"/>
    <sheet name="C18 Backend Developer Roadmap W" sheetId="21" r:id="rId60"/>
    <sheet name="C17 Khóa Học Vibe Coding Cơ Bản" sheetId="20" r:id="rId61"/>
    <sheet name="C16 khoa-hoc-vibe-coding" sheetId="19" r:id="rId62"/>
    <sheet name="C15 Claude Code - The Practical" sheetId="18" r:id="rId63"/>
    <sheet name="C14 The Complete Claude Code &amp;" sheetId="17" r:id="rId64"/>
    <sheet name="C13 claude-aiagents-cowork-mast" sheetId="16" r:id="rId65"/>
    <sheet name="C12 AI Coder- Complete Claude C" sheetId="15" r:id="rId66"/>
    <sheet name="C11 machine-learning-roadmap" sheetId="14" r:id="rId67"/>
    <sheet name="C10 Khóa Học Tính Toán Tiến Hóa" sheetId="13" r:id="rId68"/>
    <sheet name="C09 data-engineer-roadmap" sheetId="12" r:id="rId69"/>
    <sheet name="C08 data-analyst-roadmap" sheetId="11" r:id="rId70"/>
    <sheet name="C07 bi-analyst-roadmap" sheetId="10" r:id="rId71"/>
    <sheet name="C06 AI &amp; Data Scientist Roadmap" sheetId="9" r:id="rId72"/>
    <sheet name="C05 Ultimate RAG Bootcamp Using" sheetId="8" r:id="rId73"/>
    <sheet name="C04 Basic to Advanced- Retrieva" sheetId="7" r:id="rId74"/>
    <sheet name="C03 LangChain - Agentic AI Engi" sheetId="6" r:id="rId75"/>
    <sheet name="C02 AI Engineer Roadmap Course" sheetId="5" r:id="rId76"/>
    <sheet name="C01 AI Agent 365 Ngày" sheetId="4" r:id="rId77"/>
    <sheet name="C75 English Pronunciation" sheetId="78" r:id="rId78"/>
    <sheet name="C76 Phát âm — Kỹ năng đọc" sheetId="79" r:id="rId79"/>
    <sheet name="C77 AlphaAgent — Alpha Mining" sheetId="80" r:id="rId80"/>
  </sheets>
  <calcPr calcId="191029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0" i="1" l="1"/>
  <c r="M19" i="1"/>
  <c r="M18" i="1"/>
  <c r="M17" i="1"/>
  <c r="M16" i="1"/>
  <c r="M15" i="1"/>
  <c r="M14" i="1"/>
  <c r="M13" i="1"/>
  <c r="M12" i="1"/>
  <c r="A5" i="1"/>
  <c r="E10" i="80"/>
  <c r="E6" i="80" s="1"/>
  <c r="G88" i="1" s="1"/>
  <c r="C10" i="80"/>
  <c r="A10" i="80"/>
  <c r="G6" i="80"/>
  <c r="H88" i="1" s="1"/>
  <c r="C6" i="80"/>
  <c r="F88" i="1" s="1"/>
  <c r="A6" i="80"/>
  <c r="E88" i="1" s="1"/>
  <c r="E18" i="79"/>
  <c r="C18" i="79"/>
  <c r="A18" i="79"/>
  <c r="E17" i="79"/>
  <c r="C17" i="79"/>
  <c r="A17" i="79"/>
  <c r="E16" i="79"/>
  <c r="C16" i="79"/>
  <c r="A16" i="79"/>
  <c r="E15" i="79"/>
  <c r="C15" i="79"/>
  <c r="A15" i="79"/>
  <c r="E14" i="79"/>
  <c r="C14" i="79"/>
  <c r="A14" i="79"/>
  <c r="E13" i="79"/>
  <c r="C13" i="79"/>
  <c r="A13" i="79"/>
  <c r="E12" i="79"/>
  <c r="C12" i="79"/>
  <c r="A12" i="79"/>
  <c r="E11" i="79"/>
  <c r="C11" i="79"/>
  <c r="A11" i="79"/>
  <c r="E10" i="79"/>
  <c r="C10" i="79"/>
  <c r="A10" i="79"/>
  <c r="G6" i="79"/>
  <c r="H87" i="1" s="1"/>
  <c r="C6" i="79"/>
  <c r="F87" i="1" s="1"/>
  <c r="A6" i="79"/>
  <c r="E87" i="1" s="1"/>
  <c r="E16" i="78"/>
  <c r="C16" i="78"/>
  <c r="A16" i="78"/>
  <c r="E15" i="78"/>
  <c r="C15" i="78"/>
  <c r="A15" i="78"/>
  <c r="E14" i="78"/>
  <c r="C14" i="78"/>
  <c r="A14" i="78"/>
  <c r="E13" i="78"/>
  <c r="C13" i="78"/>
  <c r="A13" i="78"/>
  <c r="E12" i="78"/>
  <c r="C12" i="78"/>
  <c r="A12" i="78"/>
  <c r="E11" i="78"/>
  <c r="C11" i="78"/>
  <c r="A11" i="78"/>
  <c r="E10" i="78"/>
  <c r="C10" i="78"/>
  <c r="A10" i="78"/>
  <c r="G6" i="78"/>
  <c r="H86" i="1" s="1"/>
  <c r="C6" i="78"/>
  <c r="F86" i="1" s="1"/>
  <c r="A6" i="78"/>
  <c r="E86" i="1" s="1"/>
  <c r="E16" i="77"/>
  <c r="C16" i="77"/>
  <c r="A16" i="77"/>
  <c r="E15" i="77"/>
  <c r="C15" i="77"/>
  <c r="A15" i="77"/>
  <c r="E14" i="77"/>
  <c r="C14" i="77"/>
  <c r="A14" i="77"/>
  <c r="E13" i="77"/>
  <c r="C13" i="77"/>
  <c r="A13" i="77"/>
  <c r="E12" i="77"/>
  <c r="C12" i="77"/>
  <c r="A12" i="77"/>
  <c r="E11" i="77"/>
  <c r="C11" i="77"/>
  <c r="A11" i="77"/>
  <c r="E10" i="77"/>
  <c r="C10" i="77"/>
  <c r="A10" i="77"/>
  <c r="G6" i="77"/>
  <c r="H85" i="1" s="1"/>
  <c r="C6" i="77"/>
  <c r="F85" i="1" s="1"/>
  <c r="A6" i="77"/>
  <c r="E85" i="1" s="1"/>
  <c r="G6" i="76"/>
  <c r="H84" i="1" s="1"/>
  <c r="E6" i="76"/>
  <c r="G84" i="1" s="1"/>
  <c r="N20" i="1" s="1"/>
  <c r="C6" i="76"/>
  <c r="F84" i="1" s="1"/>
  <c r="A6" i="76"/>
  <c r="E84" i="1" s="1"/>
  <c r="G6" i="75"/>
  <c r="H83" i="1" s="1"/>
  <c r="E6" i="75"/>
  <c r="G83" i="1" s="1"/>
  <c r="N19" i="1" s="1"/>
  <c r="C6" i="75"/>
  <c r="F83" i="1" s="1"/>
  <c r="A6" i="75"/>
  <c r="E83" i="1" s="1"/>
  <c r="G6" i="74"/>
  <c r="H82" i="1" s="1"/>
  <c r="E6" i="74"/>
  <c r="G82" i="1" s="1"/>
  <c r="C6" i="74"/>
  <c r="F82" i="1" s="1"/>
  <c r="A6" i="74"/>
  <c r="E82" i="1" s="1"/>
  <c r="G6" i="73"/>
  <c r="H81" i="1" s="1"/>
  <c r="E6" i="73"/>
  <c r="G81" i="1" s="1"/>
  <c r="C6" i="73"/>
  <c r="F81" i="1" s="1"/>
  <c r="A6" i="73"/>
  <c r="E81" i="1" s="1"/>
  <c r="G6" i="72"/>
  <c r="H80" i="1" s="1"/>
  <c r="E6" i="72"/>
  <c r="G80" i="1" s="1"/>
  <c r="C6" i="72"/>
  <c r="F80" i="1" s="1"/>
  <c r="A6" i="72"/>
  <c r="E80" i="1" s="1"/>
  <c r="G6" i="71"/>
  <c r="H79" i="1" s="1"/>
  <c r="E6" i="71"/>
  <c r="G79" i="1" s="1"/>
  <c r="C6" i="71"/>
  <c r="F79" i="1" s="1"/>
  <c r="A6" i="71"/>
  <c r="E79" i="1" s="1"/>
  <c r="G6" i="70"/>
  <c r="H78" i="1" s="1"/>
  <c r="E6" i="70"/>
  <c r="G78" i="1" s="1"/>
  <c r="C6" i="70"/>
  <c r="F78" i="1" s="1"/>
  <c r="A6" i="70"/>
  <c r="E78" i="1" s="1"/>
  <c r="G6" i="69"/>
  <c r="H77" i="1" s="1"/>
  <c r="E6" i="69"/>
  <c r="G77" i="1" s="1"/>
  <c r="C6" i="69"/>
  <c r="F77" i="1" s="1"/>
  <c r="A6" i="69"/>
  <c r="E77" i="1" s="1"/>
  <c r="G6" i="68"/>
  <c r="H76" i="1" s="1"/>
  <c r="E6" i="68"/>
  <c r="G76" i="1" s="1"/>
  <c r="C6" i="68"/>
  <c r="F76" i="1" s="1"/>
  <c r="A6" i="68"/>
  <c r="E76" i="1" s="1"/>
  <c r="G6" i="67"/>
  <c r="H75" i="1" s="1"/>
  <c r="E6" i="67"/>
  <c r="G75" i="1" s="1"/>
  <c r="C6" i="67"/>
  <c r="F75" i="1" s="1"/>
  <c r="A6" i="67"/>
  <c r="E75" i="1" s="1"/>
  <c r="G6" i="66"/>
  <c r="H74" i="1" s="1"/>
  <c r="E6" i="66"/>
  <c r="G74" i="1" s="1"/>
  <c r="C6" i="66"/>
  <c r="F74" i="1" s="1"/>
  <c r="A6" i="66"/>
  <c r="E74" i="1" s="1"/>
  <c r="G6" i="65"/>
  <c r="H73" i="1" s="1"/>
  <c r="E6" i="65"/>
  <c r="G73" i="1" s="1"/>
  <c r="C6" i="65"/>
  <c r="F73" i="1" s="1"/>
  <c r="A6" i="65"/>
  <c r="E73" i="1" s="1"/>
  <c r="G6" i="64"/>
  <c r="H72" i="1" s="1"/>
  <c r="E6" i="64"/>
  <c r="G72" i="1" s="1"/>
  <c r="C6" i="64"/>
  <c r="F72" i="1" s="1"/>
  <c r="A6" i="64"/>
  <c r="E72" i="1" s="1"/>
  <c r="G6" i="63"/>
  <c r="H71" i="1" s="1"/>
  <c r="E6" i="63"/>
  <c r="G71" i="1" s="1"/>
  <c r="C6" i="63"/>
  <c r="F71" i="1" s="1"/>
  <c r="A6" i="63"/>
  <c r="E71" i="1" s="1"/>
  <c r="G6" i="62"/>
  <c r="H70" i="1" s="1"/>
  <c r="E6" i="62"/>
  <c r="G70" i="1" s="1"/>
  <c r="C6" i="62"/>
  <c r="F70" i="1" s="1"/>
  <c r="A6" i="62"/>
  <c r="E70" i="1" s="1"/>
  <c r="G6" i="61"/>
  <c r="H69" i="1" s="1"/>
  <c r="E6" i="61"/>
  <c r="G69" i="1" s="1"/>
  <c r="C6" i="61"/>
  <c r="F69" i="1" s="1"/>
  <c r="A6" i="61"/>
  <c r="E69" i="1" s="1"/>
  <c r="G6" i="60"/>
  <c r="H68" i="1" s="1"/>
  <c r="E6" i="60"/>
  <c r="G68" i="1" s="1"/>
  <c r="C6" i="60"/>
  <c r="F68" i="1" s="1"/>
  <c r="A6" i="60"/>
  <c r="E68" i="1" s="1"/>
  <c r="G6" i="59"/>
  <c r="H67" i="1" s="1"/>
  <c r="E6" i="59"/>
  <c r="G67" i="1" s="1"/>
  <c r="C6" i="59"/>
  <c r="F67" i="1" s="1"/>
  <c r="A6" i="59"/>
  <c r="E67" i="1" s="1"/>
  <c r="G6" i="58"/>
  <c r="H66" i="1" s="1"/>
  <c r="E6" i="58"/>
  <c r="G66" i="1" s="1"/>
  <c r="C6" i="58"/>
  <c r="F66" i="1" s="1"/>
  <c r="A6" i="58"/>
  <c r="E66" i="1" s="1"/>
  <c r="G6" i="57"/>
  <c r="H65" i="1" s="1"/>
  <c r="E6" i="57"/>
  <c r="G65" i="1" s="1"/>
  <c r="C6" i="57"/>
  <c r="F65" i="1" s="1"/>
  <c r="A6" i="57"/>
  <c r="E65" i="1" s="1"/>
  <c r="G6" i="56"/>
  <c r="H64" i="1" s="1"/>
  <c r="E6" i="56"/>
  <c r="G64" i="1" s="1"/>
  <c r="C6" i="56"/>
  <c r="F64" i="1" s="1"/>
  <c r="A6" i="56"/>
  <c r="E64" i="1" s="1"/>
  <c r="G6" i="55"/>
  <c r="H63" i="1" s="1"/>
  <c r="E6" i="55"/>
  <c r="G63" i="1" s="1"/>
  <c r="C6" i="55"/>
  <c r="F63" i="1" s="1"/>
  <c r="A6" i="55"/>
  <c r="E63" i="1" s="1"/>
  <c r="G6" i="54"/>
  <c r="H62" i="1" s="1"/>
  <c r="E6" i="54"/>
  <c r="G62" i="1" s="1"/>
  <c r="C6" i="54"/>
  <c r="F62" i="1" s="1"/>
  <c r="A6" i="54"/>
  <c r="E62" i="1" s="1"/>
  <c r="G6" i="53"/>
  <c r="H61" i="1" s="1"/>
  <c r="E6" i="53"/>
  <c r="G61" i="1" s="1"/>
  <c r="C6" i="53"/>
  <c r="F61" i="1" s="1"/>
  <c r="A6" i="53"/>
  <c r="E61" i="1" s="1"/>
  <c r="G6" i="52"/>
  <c r="H60" i="1" s="1"/>
  <c r="E6" i="52"/>
  <c r="G60" i="1" s="1"/>
  <c r="C6" i="52"/>
  <c r="F60" i="1" s="1"/>
  <c r="A6" i="52"/>
  <c r="E60" i="1" s="1"/>
  <c r="G6" i="51"/>
  <c r="H59" i="1" s="1"/>
  <c r="E6" i="51"/>
  <c r="G59" i="1" s="1"/>
  <c r="C6" i="51"/>
  <c r="F59" i="1" s="1"/>
  <c r="A6" i="51"/>
  <c r="E59" i="1" s="1"/>
  <c r="G6" i="50"/>
  <c r="H58" i="1" s="1"/>
  <c r="E6" i="50"/>
  <c r="G58" i="1" s="1"/>
  <c r="C6" i="50"/>
  <c r="F58" i="1" s="1"/>
  <c r="A6" i="50"/>
  <c r="E58" i="1" s="1"/>
  <c r="G6" i="49"/>
  <c r="H57" i="1" s="1"/>
  <c r="E6" i="49"/>
  <c r="G57" i="1" s="1"/>
  <c r="C6" i="49"/>
  <c r="F57" i="1" s="1"/>
  <c r="A6" i="49"/>
  <c r="E57" i="1" s="1"/>
  <c r="G6" i="48"/>
  <c r="H56" i="1" s="1"/>
  <c r="E6" i="48"/>
  <c r="G56" i="1" s="1"/>
  <c r="C6" i="48"/>
  <c r="F56" i="1" s="1"/>
  <c r="A6" i="48"/>
  <c r="E56" i="1" s="1"/>
  <c r="G6" i="47"/>
  <c r="H55" i="1" s="1"/>
  <c r="E6" i="47"/>
  <c r="G55" i="1" s="1"/>
  <c r="C6" i="47"/>
  <c r="F55" i="1" s="1"/>
  <c r="A6" i="47"/>
  <c r="E55" i="1" s="1"/>
  <c r="G6" i="46"/>
  <c r="H54" i="1" s="1"/>
  <c r="E6" i="46"/>
  <c r="G54" i="1" s="1"/>
  <c r="C6" i="46"/>
  <c r="F54" i="1" s="1"/>
  <c r="A6" i="46"/>
  <c r="E54" i="1" s="1"/>
  <c r="G6" i="45"/>
  <c r="H53" i="1" s="1"/>
  <c r="E6" i="45"/>
  <c r="G53" i="1" s="1"/>
  <c r="C6" i="45"/>
  <c r="F53" i="1" s="1"/>
  <c r="A6" i="45"/>
  <c r="E53" i="1" s="1"/>
  <c r="G6" i="44"/>
  <c r="H52" i="1" s="1"/>
  <c r="E6" i="44"/>
  <c r="G52" i="1" s="1"/>
  <c r="C6" i="44"/>
  <c r="F52" i="1" s="1"/>
  <c r="A6" i="44"/>
  <c r="E52" i="1" s="1"/>
  <c r="G6" i="43"/>
  <c r="H51" i="1" s="1"/>
  <c r="E6" i="43"/>
  <c r="G51" i="1" s="1"/>
  <c r="C6" i="43"/>
  <c r="F51" i="1" s="1"/>
  <c r="A6" i="43"/>
  <c r="E51" i="1" s="1"/>
  <c r="G6" i="42"/>
  <c r="H50" i="1" s="1"/>
  <c r="E6" i="42"/>
  <c r="G50" i="1" s="1"/>
  <c r="C6" i="42"/>
  <c r="F50" i="1" s="1"/>
  <c r="A6" i="42"/>
  <c r="E50" i="1" s="1"/>
  <c r="G6" i="41"/>
  <c r="H49" i="1" s="1"/>
  <c r="E6" i="41"/>
  <c r="G49" i="1" s="1"/>
  <c r="C6" i="41"/>
  <c r="F49" i="1" s="1"/>
  <c r="A6" i="41"/>
  <c r="E49" i="1" s="1"/>
  <c r="G6" i="40"/>
  <c r="H48" i="1" s="1"/>
  <c r="E6" i="40"/>
  <c r="G48" i="1" s="1"/>
  <c r="C6" i="40"/>
  <c r="F48" i="1" s="1"/>
  <c r="A6" i="40"/>
  <c r="E48" i="1" s="1"/>
  <c r="G6" i="39"/>
  <c r="H47" i="1" s="1"/>
  <c r="E6" i="39"/>
  <c r="G47" i="1" s="1"/>
  <c r="C6" i="39"/>
  <c r="F47" i="1" s="1"/>
  <c r="A6" i="39"/>
  <c r="E47" i="1" s="1"/>
  <c r="G6" i="38"/>
  <c r="H46" i="1" s="1"/>
  <c r="E6" i="38"/>
  <c r="G46" i="1" s="1"/>
  <c r="C6" i="38"/>
  <c r="F46" i="1" s="1"/>
  <c r="A6" i="38"/>
  <c r="E46" i="1" s="1"/>
  <c r="G6" i="37"/>
  <c r="H45" i="1" s="1"/>
  <c r="E6" i="37"/>
  <c r="G45" i="1" s="1"/>
  <c r="C6" i="37"/>
  <c r="F45" i="1" s="1"/>
  <c r="A6" i="37"/>
  <c r="E45" i="1" s="1"/>
  <c r="G6" i="36"/>
  <c r="H44" i="1" s="1"/>
  <c r="E6" i="36"/>
  <c r="G44" i="1" s="1"/>
  <c r="C6" i="36"/>
  <c r="F44" i="1" s="1"/>
  <c r="A6" i="36"/>
  <c r="E44" i="1" s="1"/>
  <c r="G6" i="35"/>
  <c r="H43" i="1" s="1"/>
  <c r="E6" i="35"/>
  <c r="G43" i="1" s="1"/>
  <c r="C6" i="35"/>
  <c r="F43" i="1" s="1"/>
  <c r="A6" i="35"/>
  <c r="E43" i="1" s="1"/>
  <c r="G6" i="34"/>
  <c r="H42" i="1" s="1"/>
  <c r="E6" i="34"/>
  <c r="G42" i="1" s="1"/>
  <c r="C6" i="34"/>
  <c r="F42" i="1" s="1"/>
  <c r="A6" i="34"/>
  <c r="E42" i="1" s="1"/>
  <c r="G6" i="33"/>
  <c r="H41" i="1" s="1"/>
  <c r="E6" i="33"/>
  <c r="G41" i="1" s="1"/>
  <c r="C6" i="33"/>
  <c r="F41" i="1" s="1"/>
  <c r="A6" i="33"/>
  <c r="E41" i="1" s="1"/>
  <c r="G6" i="32"/>
  <c r="H40" i="1" s="1"/>
  <c r="E6" i="32"/>
  <c r="G40" i="1" s="1"/>
  <c r="C6" i="32"/>
  <c r="F40" i="1" s="1"/>
  <c r="A6" i="32"/>
  <c r="E40" i="1" s="1"/>
  <c r="G6" i="31"/>
  <c r="H39" i="1" s="1"/>
  <c r="E6" i="31"/>
  <c r="G39" i="1" s="1"/>
  <c r="C6" i="31"/>
  <c r="F39" i="1" s="1"/>
  <c r="A6" i="31"/>
  <c r="E39" i="1" s="1"/>
  <c r="G6" i="30"/>
  <c r="H38" i="1" s="1"/>
  <c r="E6" i="30"/>
  <c r="G38" i="1" s="1"/>
  <c r="C6" i="30"/>
  <c r="F38" i="1" s="1"/>
  <c r="A6" i="30"/>
  <c r="E38" i="1" s="1"/>
  <c r="G6" i="29"/>
  <c r="H37" i="1" s="1"/>
  <c r="E6" i="29"/>
  <c r="G37" i="1" s="1"/>
  <c r="C6" i="29"/>
  <c r="F37" i="1" s="1"/>
  <c r="A6" i="29"/>
  <c r="E37" i="1" s="1"/>
  <c r="G6" i="28"/>
  <c r="H36" i="1" s="1"/>
  <c r="E6" i="28"/>
  <c r="G36" i="1" s="1"/>
  <c r="C6" i="28"/>
  <c r="F36" i="1" s="1"/>
  <c r="A6" i="28"/>
  <c r="E36" i="1" s="1"/>
  <c r="G6" i="27"/>
  <c r="H35" i="1" s="1"/>
  <c r="E6" i="27"/>
  <c r="G35" i="1" s="1"/>
  <c r="C6" i="27"/>
  <c r="F35" i="1" s="1"/>
  <c r="A6" i="27"/>
  <c r="E35" i="1" s="1"/>
  <c r="G6" i="26"/>
  <c r="H34" i="1" s="1"/>
  <c r="E6" i="26"/>
  <c r="G34" i="1" s="1"/>
  <c r="C6" i="26"/>
  <c r="F34" i="1" s="1"/>
  <c r="A6" i="26"/>
  <c r="E34" i="1" s="1"/>
  <c r="G6" i="25"/>
  <c r="H33" i="1" s="1"/>
  <c r="E6" i="25"/>
  <c r="G33" i="1" s="1"/>
  <c r="C6" i="25"/>
  <c r="F33" i="1" s="1"/>
  <c r="A6" i="25"/>
  <c r="E33" i="1" s="1"/>
  <c r="G6" i="24"/>
  <c r="H32" i="1" s="1"/>
  <c r="E6" i="24"/>
  <c r="G32" i="1" s="1"/>
  <c r="C6" i="24"/>
  <c r="F32" i="1" s="1"/>
  <c r="A6" i="24"/>
  <c r="E32" i="1" s="1"/>
  <c r="G6" i="23"/>
  <c r="H31" i="1" s="1"/>
  <c r="E6" i="23"/>
  <c r="G31" i="1" s="1"/>
  <c r="C6" i="23"/>
  <c r="F31" i="1" s="1"/>
  <c r="A6" i="23"/>
  <c r="E31" i="1" s="1"/>
  <c r="G6" i="22"/>
  <c r="H30" i="1" s="1"/>
  <c r="E6" i="22"/>
  <c r="G30" i="1" s="1"/>
  <c r="C6" i="22"/>
  <c r="F30" i="1" s="1"/>
  <c r="A6" i="22"/>
  <c r="E30" i="1" s="1"/>
  <c r="G6" i="21"/>
  <c r="H29" i="1" s="1"/>
  <c r="E6" i="21"/>
  <c r="G29" i="1" s="1"/>
  <c r="C6" i="21"/>
  <c r="F29" i="1" s="1"/>
  <c r="A6" i="21"/>
  <c r="E29" i="1" s="1"/>
  <c r="G6" i="20"/>
  <c r="H28" i="1" s="1"/>
  <c r="E6" i="20"/>
  <c r="G28" i="1" s="1"/>
  <c r="C6" i="20"/>
  <c r="F28" i="1" s="1"/>
  <c r="A6" i="20"/>
  <c r="E28" i="1" s="1"/>
  <c r="G6" i="19"/>
  <c r="H27" i="1" s="1"/>
  <c r="E6" i="19"/>
  <c r="G27" i="1" s="1"/>
  <c r="C6" i="19"/>
  <c r="F27" i="1" s="1"/>
  <c r="A6" i="19"/>
  <c r="E27" i="1" s="1"/>
  <c r="G6" i="18"/>
  <c r="H26" i="1" s="1"/>
  <c r="E6" i="18"/>
  <c r="G26" i="1" s="1"/>
  <c r="C6" i="18"/>
  <c r="F26" i="1" s="1"/>
  <c r="A6" i="18"/>
  <c r="E26" i="1" s="1"/>
  <c r="G6" i="17"/>
  <c r="H25" i="1" s="1"/>
  <c r="E6" i="17"/>
  <c r="G25" i="1" s="1"/>
  <c r="C6" i="17"/>
  <c r="F25" i="1" s="1"/>
  <c r="A6" i="17"/>
  <c r="E25" i="1" s="1"/>
  <c r="G6" i="16"/>
  <c r="H24" i="1" s="1"/>
  <c r="E6" i="16"/>
  <c r="G24" i="1" s="1"/>
  <c r="C6" i="16"/>
  <c r="F24" i="1" s="1"/>
  <c r="A6" i="16"/>
  <c r="E24" i="1" s="1"/>
  <c r="G6" i="15"/>
  <c r="H23" i="1" s="1"/>
  <c r="E6" i="15"/>
  <c r="G23" i="1" s="1"/>
  <c r="C6" i="15"/>
  <c r="F23" i="1" s="1"/>
  <c r="A6" i="15"/>
  <c r="E23" i="1" s="1"/>
  <c r="G6" i="14"/>
  <c r="H22" i="1" s="1"/>
  <c r="E6" i="14"/>
  <c r="G22" i="1" s="1"/>
  <c r="C6" i="14"/>
  <c r="F22" i="1" s="1"/>
  <c r="A6" i="14"/>
  <c r="E22" i="1" s="1"/>
  <c r="G6" i="13"/>
  <c r="H21" i="1" s="1"/>
  <c r="E6" i="13"/>
  <c r="G21" i="1" s="1"/>
  <c r="C6" i="13"/>
  <c r="F21" i="1" s="1"/>
  <c r="A6" i="13"/>
  <c r="E21" i="1" s="1"/>
  <c r="G6" i="12"/>
  <c r="H20" i="1" s="1"/>
  <c r="E6" i="12"/>
  <c r="G20" i="1" s="1"/>
  <c r="C6" i="12"/>
  <c r="F20" i="1" s="1"/>
  <c r="A6" i="12"/>
  <c r="E20" i="1" s="1"/>
  <c r="G6" i="11"/>
  <c r="H19" i="1" s="1"/>
  <c r="E6" i="11"/>
  <c r="G19" i="1" s="1"/>
  <c r="C6" i="11"/>
  <c r="F19" i="1" s="1"/>
  <c r="A6" i="11"/>
  <c r="E19" i="1" s="1"/>
  <c r="G6" i="10"/>
  <c r="H18" i="1" s="1"/>
  <c r="E6" i="10"/>
  <c r="G18" i="1" s="1"/>
  <c r="C6" i="10"/>
  <c r="F18" i="1" s="1"/>
  <c r="A6" i="10"/>
  <c r="E18" i="1" s="1"/>
  <c r="G6" i="9"/>
  <c r="H17" i="1" s="1"/>
  <c r="E6" i="9"/>
  <c r="G17" i="1" s="1"/>
  <c r="C6" i="9"/>
  <c r="F17" i="1" s="1"/>
  <c r="A6" i="9"/>
  <c r="E17" i="1" s="1"/>
  <c r="G6" i="8"/>
  <c r="H16" i="1" s="1"/>
  <c r="E6" i="8"/>
  <c r="G16" i="1" s="1"/>
  <c r="C6" i="8"/>
  <c r="F16" i="1" s="1"/>
  <c r="A6" i="8"/>
  <c r="E16" i="1" s="1"/>
  <c r="G6" i="7"/>
  <c r="H15" i="1" s="1"/>
  <c r="E6" i="7"/>
  <c r="G15" i="1" s="1"/>
  <c r="C6" i="7"/>
  <c r="F15" i="1" s="1"/>
  <c r="A6" i="7"/>
  <c r="E15" i="1" s="1"/>
  <c r="G6" i="6"/>
  <c r="H14" i="1" s="1"/>
  <c r="E6" i="6"/>
  <c r="G14" i="1" s="1"/>
  <c r="C6" i="6"/>
  <c r="F14" i="1" s="1"/>
  <c r="A6" i="6"/>
  <c r="E14" i="1" s="1"/>
  <c r="G6" i="5"/>
  <c r="H13" i="1" s="1"/>
  <c r="E6" i="5"/>
  <c r="G13" i="1" s="1"/>
  <c r="C6" i="5"/>
  <c r="F13" i="1" s="1"/>
  <c r="A6" i="5"/>
  <c r="E13" i="1" s="1"/>
  <c r="G6" i="4"/>
  <c r="H12" i="1" s="1"/>
  <c r="E6" i="4"/>
  <c r="G12" i="1" s="1"/>
  <c r="C6" i="4"/>
  <c r="F12" i="1" s="1"/>
  <c r="A6" i="4"/>
  <c r="E12" i="1" s="1"/>
  <c r="G6" i="3"/>
  <c r="E6" i="3"/>
  <c r="C6" i="3"/>
  <c r="A6" i="3"/>
  <c r="N18" i="1" l="1"/>
  <c r="N16" i="1"/>
  <c r="N12" i="1"/>
  <c r="N15" i="1"/>
  <c r="N14" i="1"/>
  <c r="N13" i="1"/>
  <c r="M5" i="1"/>
  <c r="G5" i="1"/>
  <c r="D5" i="1"/>
  <c r="I88" i="1"/>
  <c r="I87" i="1"/>
  <c r="I86" i="1"/>
  <c r="E6" i="79"/>
  <c r="G87" i="1" s="1"/>
  <c r="E6" i="78"/>
  <c r="G86" i="1" s="1"/>
  <c r="I85" i="1"/>
  <c r="E6" i="77"/>
  <c r="G85" i="1" s="1"/>
  <c r="I56" i="1"/>
  <c r="I32" i="1"/>
  <c r="I40" i="1"/>
  <c r="I74" i="1"/>
  <c r="I82" i="1"/>
  <c r="I20" i="1"/>
  <c r="I55" i="1"/>
  <c r="I19" i="1"/>
  <c r="I53" i="1"/>
  <c r="I61" i="1"/>
  <c r="I77" i="1"/>
  <c r="I24" i="1"/>
  <c r="I26" i="1"/>
  <c r="I46" i="1"/>
  <c r="I50" i="1"/>
  <c r="I62" i="1"/>
  <c r="I68" i="1"/>
  <c r="I76" i="1"/>
  <c r="I78" i="1"/>
  <c r="I80" i="1"/>
  <c r="I84" i="1"/>
  <c r="I13" i="1"/>
  <c r="I69" i="1"/>
  <c r="I37" i="1"/>
  <c r="I59" i="1"/>
  <c r="I75" i="1"/>
  <c r="I83" i="1"/>
  <c r="I57" i="1"/>
  <c r="I12" i="1"/>
  <c r="I14" i="1"/>
  <c r="I16" i="1"/>
  <c r="I18" i="1"/>
  <c r="I22" i="1"/>
  <c r="I34" i="1"/>
  <c r="I36" i="1"/>
  <c r="I38" i="1"/>
  <c r="I42" i="1"/>
  <c r="I44" i="1"/>
  <c r="I54" i="1"/>
  <c r="I58" i="1"/>
  <c r="I60" i="1"/>
  <c r="I64" i="1"/>
  <c r="I72" i="1"/>
  <c r="I30" i="1"/>
  <c r="I43" i="1"/>
  <c r="I35" i="1"/>
  <c r="I67" i="1"/>
  <c r="I23" i="1"/>
  <c r="I25" i="1"/>
  <c r="I27" i="1"/>
  <c r="I29" i="1"/>
  <c r="I45" i="1"/>
  <c r="I47" i="1"/>
  <c r="I49" i="1"/>
  <c r="I51" i="1"/>
  <c r="I70" i="1"/>
  <c r="I21" i="1"/>
  <c r="I79" i="1"/>
  <c r="I39" i="1"/>
  <c r="I66" i="1"/>
  <c r="I15" i="1"/>
  <c r="I73" i="1"/>
  <c r="I33" i="1"/>
  <c r="I31" i="1"/>
  <c r="I48" i="1"/>
  <c r="I17" i="1"/>
  <c r="I71" i="1"/>
  <c r="I52" i="1"/>
  <c r="I41" i="1"/>
  <c r="I28" i="1"/>
  <c r="I65" i="1"/>
  <c r="I81" i="1"/>
  <c r="I63" i="1"/>
  <c r="N17" i="1" l="1"/>
  <c r="J5" i="1"/>
</calcChain>
</file>

<file path=xl/sharedStrings.xml><?xml version="1.0" encoding="utf-8"?>
<sst xmlns="http://schemas.openxmlformats.org/spreadsheetml/2006/main" count="4528" uniqueCount="1453">
  <si>
    <t>HƯỚNG DẪN SỬ DỤNG</t>
  </si>
  <si>
    <t>Mục đích</t>
  </si>
  <si>
    <t>Workbook này theo dõi tiến độ theo khóa học và module. Các ô nền vàng là nơi nhập liệu; các ô KPI và Tổng quan tự tính bằng công thức.</t>
  </si>
  <si>
    <t>Cách cập nhật tiến độ</t>
  </si>
  <si>
    <t>Mở sheet của khóa học cần học trong danh sách tab phía dưới.</t>
  </si>
  <si>
    <t>Ở từng module, chọn Trạng thái, nhập Tiến độ (%) và Điểm /10; điền Ngày hoàn thành khi kết thúc.</t>
  </si>
  <si>
    <t>Xem sheet TỔNG QUAN để biết tiến độ toàn bộ kho và tiến độ theo từng lĩnh vực.</t>
  </si>
  <si>
    <t>Không sửa các ô KPI/công thức; chỉ sửa các ô nền vàng và cột Ghi chú.</t>
  </si>
  <si>
    <t>Điểm dùng thang 0–10; Tiến độ dùng phần trăm 0%–100%.</t>
  </si>
  <si>
    <t>Quy ước trạng thái</t>
  </si>
  <si>
    <t>Trạng thái</t>
  </si>
  <si>
    <t>Chưa bắt đầu</t>
  </si>
  <si>
    <t>Chưa học module</t>
  </si>
  <si>
    <t>Đang học</t>
  </si>
  <si>
    <t>Đang học hoặc đã học một phần</t>
  </si>
  <si>
    <t>Đã hoàn thành</t>
  </si>
  <si>
    <t>Đã hoàn thành module</t>
  </si>
  <si>
    <t>Tạm dừng</t>
  </si>
  <si>
    <t>Tạm thời chưa học tiếp</t>
  </si>
  <si>
    <t>Thêm khóa học mới</t>
  </si>
  <si>
    <t>Khi thêm một thư mục khóa học mới vào kho, hãy tạo một sheet mới bằng cách sao chép MẪU_KHÓA_MỚI, đổi tên theo mã khóa và nhập các module. Khi bạn báo có khóa mới, mình sẽ tạo sheet tương ứng và cập nhật TỔNG QUAN.</t>
  </si>
  <si>
    <t>Lưu ý: file .xlsx không tự theo dõi thay đổi của thư mục Windows. Sheet MẪU_KHÓA_MỚI giúp thêm sheet mới thống nhất và không phá công thức.</t>
  </si>
  <si>
    <t>MẪU THEO DÕI KHÓA MỚI</t>
  </si>
  <si>
    <t>Mã khóa</t>
  </si>
  <si>
    <t>Cxx</t>
  </si>
  <si>
    <t>Lĩnh vực</t>
  </si>
  <si>
    <t>Chuyên ngành</t>
  </si>
  <si>
    <t>Thư mục nguồn</t>
  </si>
  <si>
    <t>Dán đường dẫn thư mục khóa học tại đây</t>
  </si>
  <si>
    <t>TỔNG MODULE</t>
  </si>
  <si>
    <t>ĐÃ HOÀN THÀNH</t>
  </si>
  <si>
    <t>TIẾN ĐỘ TRUNG BÌNH</t>
  </si>
  <si>
    <t>ĐIỂM TRUNG BÌNH</t>
  </si>
  <si>
    <t>Sao chép sheet này khi thêm khóa mới. Mỗi dòng là một module; nhập trạng thái, tiến độ, điểm và ngày hoàn thành.</t>
  </si>
  <si>
    <t>STT</t>
  </si>
  <si>
    <t>Module</t>
  </si>
  <si>
    <t>Số bài</t>
  </si>
  <si>
    <t>Tiến độ (%)</t>
  </si>
  <si>
    <t>Điểm /10</t>
  </si>
  <si>
    <t>Ngày hoàn thành</t>
  </si>
  <si>
    <t>Ghi chú</t>
  </si>
  <si>
    <t>THEO DÕI KHÓA HỌC — AI Agent 365 Ngày</t>
  </si>
  <si>
    <t>C01</t>
  </si>
  <si>
    <t>01 - AI &amp; Dữ liệu</t>
  </si>
  <si>
    <t>01 - AI Engineering &amp; LLM</t>
  </si>
  <si>
    <t>D:\Sao lưu\Udemy\Khóa học\01 - AI &amp; Dữ liệu\01 - AI Engineering &amp; LLM\Ai-engineer</t>
  </si>
  <si>
    <t>Nhập Trạng thái, Tiến độ và Điểm ở các ô nền vàng. Tiến độ nhập từ 0% đến 100%; điểm từ 0 đến 10.</t>
  </si>
  <si>
    <t>01 - Tuan 1 - Gioi Thieu va Cai Dat</t>
  </si>
  <si>
    <t>02 - Tuan 2 - Gradio va Transformers</t>
  </si>
  <si>
    <t>03 - Tuan 3 - Open Source Models</t>
  </si>
  <si>
    <t>04 - Tuan 4 - Danh Gia Mo Hinh</t>
  </si>
  <si>
    <t>05 - Tuan 5 - RAG Pipeline</t>
  </si>
  <si>
    <t>06 - Tuan 6 - Data va Machine Learning</t>
  </si>
  <si>
    <t>07 - Tuan 7 - Fine-tuning va Chuyen Nghiep</t>
  </si>
  <si>
    <t>08 - Tuan 8 - Trien Khai Production</t>
  </si>
  <si>
    <t>THEO DÕI KHÓA HỌC — AI Engineer Roadmap Course</t>
  </si>
  <si>
    <t>C02</t>
  </si>
  <si>
    <t>D:\Sao lưu\Udemy\Khóa học\01 - AI &amp; Dữ liệu\01 - AI Engineering &amp; LLM\ai-engineer-roadmap</t>
  </si>
  <si>
    <t>00 - Roadmap.sh AI Engineer Official</t>
  </si>
  <si>
    <t>THEO DÕI KHÓA HỌC — LangChain - Agentic AI Engineering with LangChain &amp; LangGraph</t>
  </si>
  <si>
    <t>C03</t>
  </si>
  <si>
    <t>D:\Sao lưu\Udemy\Khóa học\01 - AI &amp; Dữ liệu\01 - AI Engineering &amp; LLM\langchain</t>
  </si>
  <si>
    <t>01 - Introduction</t>
  </si>
  <si>
    <t>02 - The GIST of LangChain - Get started with your Hello World chain</t>
  </si>
  <si>
    <t>03 - THE GIST of AI Agents</t>
  </si>
  <si>
    <t>04 - Agents Under The Hood 1-4</t>
  </si>
  <si>
    <t>05 - Layer 1 - The ReAct Loop</t>
  </si>
  <si>
    <t>06 - Layer 2 - Raw Function Calling</t>
  </si>
  <si>
    <t>07 - Layer 3 - The ReAct Prompt - The Foundation of Function Calling</t>
  </si>
  <si>
    <t>08 - Function Calling</t>
  </si>
  <si>
    <t>09 - The GIST of RAG - Embeddings, Vector Databases and Retrieval</t>
  </si>
  <si>
    <t>10 - Building a Documentation Assistant - Embeddings, VectorDBs, Retrieval, Memory</t>
  </si>
  <si>
    <t>11 - Agents Under The Hood 2-4 - Agent Internals Deep Dive</t>
  </si>
  <si>
    <t>12 - Agents Under The Hood 3-4 - Advanced Agent Patterns</t>
  </si>
  <si>
    <t>13 - Agents Under The Hood 4-4 - Custom Agents and Advanced Tooling</t>
  </si>
  <si>
    <t>14 - Memory Systems in LangChain</t>
  </si>
  <si>
    <t>15 - Introduction to LangGraph</t>
  </si>
  <si>
    <t>16 - LangGraph State Management</t>
  </si>
  <si>
    <t>17 - LangGraph Nodes, Edges, and Graph Compilation</t>
  </si>
  <si>
    <t>18 - Building Agents with LangGraph</t>
  </si>
  <si>
    <t>19 - Advanced LangGraph Patterns</t>
  </si>
  <si>
    <t>20 - Multi-Agent Systems</t>
  </si>
  <si>
    <t>21 - Model Context Protocol - MCP</t>
  </si>
  <si>
    <t>22 - Advanced RAG Techniques</t>
  </si>
  <si>
    <t>23 - LangSmith - Evaluation, Testing and Observability</t>
  </si>
  <si>
    <t>24 - Prompt Engineering and Context Engineering</t>
  </si>
  <si>
    <t>25 - Production-Ready Agentic AI Systems</t>
  </si>
  <si>
    <t>26 - Vector Databases in Depth</t>
  </si>
  <si>
    <t>27 - Final Project - Production Agentic AI System</t>
  </si>
  <si>
    <t>28 - Conclusion and Next Steps</t>
  </si>
  <si>
    <t>THEO DÕI KHÓA HỌC — Basic to Advanced: Retrieval-Augmented Generation — RAG</t>
  </si>
  <si>
    <t>C04</t>
  </si>
  <si>
    <t>D:\Sao lưu\Udemy\Khóa học\01 - AI &amp; Dữ liệu\01 - AI Engineering &amp; LLM\rag-basic-to-advanced</t>
  </si>
  <si>
    <t>02 - RAG Fundamentals</t>
  </si>
  <si>
    <t>03 - Introduction to Large Language Models</t>
  </si>
  <si>
    <t>04 - VS Code &amp; GitHub Repo Setup</t>
  </si>
  <si>
    <t>05 - Vector Databases &amp; Embeddings</t>
  </si>
  <si>
    <t>06 - LangChain Framework &amp; Building a Simple RAG Pipeline</t>
  </si>
  <si>
    <t>07 - LangChain RAG Advanced</t>
  </si>
  <si>
    <t>08 - Advanced Projects with LangChain</t>
  </si>
  <si>
    <t>09 - Completion</t>
  </si>
  <si>
    <t>THEO DÕI KHÓA HỌC — Ultimate RAG Bootcamp Using LangChain, LangGraph &amp; LangSmith</t>
  </si>
  <si>
    <t>C05</t>
  </si>
  <si>
    <t>D:\Sao lưu\Udemy\Khóa học\01 - AI &amp; Dữ liệu\01 - AI Engineering &amp; LLM\ultimate-rag-bootcamp</t>
  </si>
  <si>
    <t>02 - Introduction To RAG</t>
  </si>
  <si>
    <t>03 - Core Components In RAG</t>
  </si>
  <si>
    <t>04 - VS Code And Anaconda Installation</t>
  </si>
  <si>
    <t>05 - Data Ingestion And Data Parsing Techniques</t>
  </si>
  <si>
    <t>06 - Vector Embedding And Vector Databases</t>
  </si>
  <si>
    <t>07 - Vector Stores And Vector Databases</t>
  </si>
  <si>
    <t>08 - Advanced Chunking And Preprocessing Techniques</t>
  </si>
  <si>
    <t>09 - Hybrid Search Strategies</t>
  </si>
  <si>
    <t>10 - Query Enhancement</t>
  </si>
  <si>
    <t>11 - MultiModal RAG</t>
  </si>
  <si>
    <t>12 - Getting Started With AI Agents And Agentic AI</t>
  </si>
  <si>
    <t>13 - Updated Langchain Hands On With Version V1</t>
  </si>
  <si>
    <t>14 - Langgraph Basics</t>
  </si>
  <si>
    <t>15 - Agents Architecture</t>
  </si>
  <si>
    <t>16 - Agentic RAG</t>
  </si>
  <si>
    <t>17 - Autonomous RAG</t>
  </si>
  <si>
    <t>18 - Multi Agents RAG</t>
  </si>
  <si>
    <t>19 - Corrective RAG</t>
  </si>
  <si>
    <t>20 - Adaptive RAG</t>
  </si>
  <si>
    <t>21 - RAG With Persistent Memory</t>
  </si>
  <si>
    <t>22 - Cache RAG With LangGraph</t>
  </si>
  <si>
    <t>23 - VectorLess RAG With PageIndex</t>
  </si>
  <si>
    <t>24 - Guardrails</t>
  </si>
  <si>
    <t>25 - Chatbot And RAG Evaluation</t>
  </si>
  <si>
    <t>26 - Introduction To Graph Databases And Cypher</t>
  </si>
  <si>
    <t>27 - Practical Implementation With GraphDB And Langchain</t>
  </si>
  <si>
    <t>28 - End To End RAG Document Search Project</t>
  </si>
  <si>
    <t>29 - RolePlay</t>
  </si>
  <si>
    <t>THEO DÕI KHÓA HỌC — AI &amp; Data Scientist Roadmap Course</t>
  </si>
  <si>
    <t>C06</t>
  </si>
  <si>
    <t>02 - Data Science, Analytics &amp; ML</t>
  </si>
  <si>
    <t>D:\Sao lưu\Udemy\Khóa học\01 - AI &amp; Dữ liệu\02 - Data Science, Analytics &amp; ML\ai-data-scientist-roadmap</t>
  </si>
  <si>
    <t>00 - Roadmap.sh AI Data Scientist Official</t>
  </si>
  <si>
    <t>THEO DÕI KHÓA HỌC — bi-analyst-roadmap</t>
  </si>
  <si>
    <t>C07</t>
  </si>
  <si>
    <t>D:\Sao lưu\Udemy\Khóa học\01 - AI &amp; Dữ liệu\02 - Data Science, Analytics &amp; ML\bi-analyst-roadmap</t>
  </si>
  <si>
    <t>00 - Roadmap.sh BI Analyst Official</t>
  </si>
  <si>
    <t>99 - Portfolio Projects</t>
  </si>
  <si>
    <t>THEO DÕI KHÓA HỌC — data-analyst-roadmap</t>
  </si>
  <si>
    <t>C08</t>
  </si>
  <si>
    <t>D:\Sao lưu\Udemy\Khóa học\01 - AI &amp; Dữ liệu\02 - Data Science, Analytics &amp; ML\data-analyst-roadmap</t>
  </si>
  <si>
    <t>00 - Roadmap.sh Data Analyst Official</t>
  </si>
  <si>
    <t>THEO DÕI KHÓA HỌC — data-engineer-roadmap</t>
  </si>
  <si>
    <t>C09</t>
  </si>
  <si>
    <t>D:\Sao lưu\Udemy\Khóa học\01 - AI &amp; Dữ liệu\02 - Data Science, Analytics &amp; ML\data-engineer-roadmap</t>
  </si>
  <si>
    <t>00 - Roadmap.sh Data Engineer Official</t>
  </si>
  <si>
    <t>THEO DÕI KHÓA HỌC — Khóa Học Tính Toán Tiến Hóa (Evolutionary Computation)</t>
  </si>
  <si>
    <t>C10</t>
  </si>
  <si>
    <t>D:\Sao lưu\Udemy\Khóa học\01 - AI &amp; Dữ liệu\02 - Data Science, Analytics &amp; ML\khoa-hoc-tinh-toan-tien-hoa</t>
  </si>
  <si>
    <t>Chuong 01 - Gioi Thieu Tinh Toan Tien Hoa</t>
  </si>
  <si>
    <t>Chuong 02 - Giai Thuat Di Truyen</t>
  </si>
  <si>
    <t>Chuong 03 - Lap Trinh Di Truyen</t>
  </si>
  <si>
    <t>Chuong 04 - Lap Trinh Tien Hoa</t>
  </si>
  <si>
    <t>Chuong 05 - Chien Luoc Tien Hoa</t>
  </si>
  <si>
    <t>Chuong 06 - Tien Hoa Da Nhiem</t>
  </si>
  <si>
    <t>Chuong 07 - Tien Hoa Sai Phan</t>
  </si>
  <si>
    <t>Chuong 08 - Toi Uu Bay Dan</t>
  </si>
  <si>
    <t>Chuong 09 - Toi Uu Dan Kien</t>
  </si>
  <si>
    <t>Chuong 10 - Toi Uu Da Muc Tieu</t>
  </si>
  <si>
    <t>THEO DÕI KHÓA HỌC — machine-learning-roadmap</t>
  </si>
  <si>
    <t>C11</t>
  </si>
  <si>
    <t>D:\Sao lưu\Udemy\Khóa học\01 - AI &amp; Dữ liệu\02 - Data Science, Analytics &amp; ML\machine-learning-roadmap</t>
  </si>
  <si>
    <t>00 - Roadmap.sh Machine Learning Official</t>
  </si>
  <si>
    <t>THEO DÕI KHÓA HỌC — AI Coder: Complete Claude Code &amp; Coding Agents Course</t>
  </si>
  <si>
    <t>C12</t>
  </si>
  <si>
    <t>03 - AI hỗ trợ phát triển phần mềm</t>
  </si>
  <si>
    <t>D:\Sao lưu\Udemy\Khóa học\01 - AI &amp; Dữ liệu\03 - AI hỗ trợ phát triển phần mềm\ai-coder-complete-claude-code-coding-agents</t>
  </si>
  <si>
    <t>01 - Week 1 Day 1 - Introduction to AI Coding Agents</t>
  </si>
  <si>
    <t>02 - Week 1 Day 2 - LLMs, Agents, Context Engineering</t>
  </si>
  <si>
    <t>03 - Week 1 Day 3 - Hands-On with Cursor, Copilot, Codex, Antigravity</t>
  </si>
  <si>
    <t>04 - Week 1 Day 4 - YOLO Mode, Model Choice, OpenRouter</t>
  </si>
  <si>
    <t>05 - Week 1 Day 5 - Commercial MVP &amp; Full-Stack Kanban</t>
  </si>
  <si>
    <t>06 - Week 2 Day 1 - Claude Code Fundamentals</t>
  </si>
  <si>
    <t>07 - Week 2 Day 2 - Claude Code Workflow</t>
  </si>
  <si>
    <t>08 - Week 2 Day 3 - MCP, Skills, Plugins</t>
  </si>
  <si>
    <t>09 - Week 2 Day 4 - Jira, GitHub, Professional Workflow</t>
  </si>
  <si>
    <t>10 - Week 2 Day 5 - SaaS Legal Assistant</t>
  </si>
  <si>
    <t>11 - Week 3 Day 1 - Sub-Agents, Hooks, Plugins</t>
  </si>
  <si>
    <t>12 - Week 3 Day 2 - Sandboxing &amp; Remote Execution</t>
  </si>
  <si>
    <t>13 - Week 3 Day 3 - Large Codebases, SDK, Cowork, OpenClaw</t>
  </si>
  <si>
    <t>14 - Week 3 Day 4 - Agent Teams, GSD, Multi-Agent Build</t>
  </si>
  <si>
    <t>15 - Week 3 Day 5 - Gas Town, Swarms, Capstone</t>
  </si>
  <si>
    <t>16 - Bonus</t>
  </si>
  <si>
    <t>THEO DÕI KHÓA HỌC — claude-aiagents-cowork-masterclass</t>
  </si>
  <si>
    <t>C13</t>
  </si>
  <si>
    <t>D:\Sao lưu\Udemy\Khóa học\01 - AI &amp; Dữ liệu\03 - AI hỗ trợ phát triển phần mềm\claude-aiagents-cowork-masterclass</t>
  </si>
  <si>
    <t>01 - Masterclass Introduction, Success Tips &amp; Welcome Message</t>
  </si>
  <si>
    <t>02 - Claude Cowork, Skills &amp; Plugins Mastery for Workflow Automation</t>
  </si>
  <si>
    <t>03 - Claude Chat Mastery</t>
  </si>
  <si>
    <t>04 - Claude in Microsoft Excel</t>
  </si>
  <si>
    <t>05 - Claude in PowerPoint</t>
  </si>
  <si>
    <t>06 - Claude Code Foundations</t>
  </si>
  <si>
    <t>07 - Claude Code for Building Apps</t>
  </si>
  <si>
    <t>08 - Claude Code for Building AI Agents</t>
  </si>
  <si>
    <t>09 - Building Your Personal AI Agent with Claude Code &amp; Cowork</t>
  </si>
  <si>
    <t>10 - Your Personal AI Agent Architecture in Claude Code &amp; Cowork</t>
  </si>
  <si>
    <t>11 - Personal AI Agent Setup Process</t>
  </si>
  <si>
    <t>12 - Automation Blueprints Part 1</t>
  </si>
  <si>
    <t>13 - Automation Blueprints Part 2</t>
  </si>
  <si>
    <t>THEO DÕI KHÓA HỌC — The Complete Claude Code &amp; Claude Cowork Masterclass [2026]</t>
  </si>
  <si>
    <t>C14</t>
  </si>
  <si>
    <t>D:\Sao lưu\Udemy\Khóa học\01 - AI &amp; Dữ liệu\03 - AI hỗ trợ phát triển phần mềm\claude-code-cowork-masterclass-2026</t>
  </si>
  <si>
    <t>01 - Course Introduction &amp; Claude Cowork Fundamentals</t>
  </si>
  <si>
    <t>02 - Claude Plugins, Data Plugin &amp; Data Visualization</t>
  </si>
  <si>
    <t>03 - Build Finance Plugin &amp; Analyze Data Plugin</t>
  </si>
  <si>
    <t>04 - Claude Chat, Prompt Engineering, Research &amp; Creative Work</t>
  </si>
  <si>
    <t>05 - Claude in Excel</t>
  </si>
  <si>
    <t>06 - Financial Modeling with Claude Cowork &amp; Excel</t>
  </si>
  <si>
    <t>07 - Claude in PowerPoint</t>
  </si>
  <si>
    <t>08 - Claude Code Setup &amp; Landing Page Project</t>
  </si>
  <si>
    <t>09 - Claude Slash Commands, Plugins, CLAUDE.md &amp; Context Management</t>
  </si>
  <si>
    <t>10 - Calorie Tracker Project with Claude Code + Gemini AI</t>
  </si>
  <si>
    <t>11 - AI Agents, MCP &amp; OpenAI Agents SDK</t>
  </si>
  <si>
    <t>12 - Build Your Personal AI Agent with Claude Code &amp; Cowork</t>
  </si>
  <si>
    <t>13 - 10 Automation Blueprints with Claude Code &amp; Cowork</t>
  </si>
  <si>
    <t>THEO DÕI KHÓA HỌC — Claude Code - The Practical Guide</t>
  </si>
  <si>
    <t>C15</t>
  </si>
  <si>
    <t>D:\Sao lưu\Udemy\Khóa học\01 - AI &amp; Dữ liệu\03 - AI hỗ trợ phát triển phần mềm\claude-code-the-practical-guide</t>
  </si>
  <si>
    <t>01 - Getting Started</t>
  </si>
  <si>
    <t>02 - Key Features &amp; Efficient Usage</t>
  </si>
  <si>
    <t>03 - Beyond Local CLI Usage</t>
  </si>
  <si>
    <t>THEO DÕI KHÓA HỌC — khoa-hoc-vibe-coding</t>
  </si>
  <si>
    <t>C16</t>
  </si>
  <si>
    <t>D:\Sao lưu\Udemy\Khóa học\01 - AI &amp; Dữ liệu\03 - AI hỗ trợ phát triển phần mềm\khoa-hoc-vibe-coding</t>
  </si>
  <si>
    <t>Chuong 01 - Cach Mang Vibe Coding</t>
  </si>
  <si>
    <t>Chuong 02 - Gioi Thieu Moi Truong</t>
  </si>
  <si>
    <t>Chuong 03 - Cai Dat Moi Truong</t>
  </si>
  <si>
    <t>Chuong 04 - Chon Model AI</t>
  </si>
  <si>
    <t>Chuong 05 - Nghe Thuat Viet Prompt</t>
  </si>
  <si>
    <t>Chuong 06 - Tao Landing Page Dau Tien</t>
  </si>
  <si>
    <t>Chuong 06 - Xay App Desktop Dau Tien</t>
  </si>
  <si>
    <t>Chuong 07 - Cach Xu Ly Loi Reverse Debugging</t>
  </si>
  <si>
    <t>Chuong 08 - Refactor Va Toi Uu</t>
  </si>
  <si>
    <t>Chuong 09 - UI UX Polish</t>
  </si>
  <si>
    <t>Chuong 10-1 - Dong Goi Va Phat Hanh</t>
  </si>
  <si>
    <t>Chuong 10-2 - Ra Mat San Pham</t>
  </si>
  <si>
    <t>THEO DÕI KHÓA HỌC — Khóa Học Vibe Coding Cơ Bản Cho Người Mới Bắt Đầu</t>
  </si>
  <si>
    <t>C17</t>
  </si>
  <si>
    <t>D:\Sao lưu\Udemy\Khóa học\01 - AI &amp; Dữ liệu\03 - AI hỗ trợ phát triển phần mềm\khoa-hoc-vibe-coding-co-ban</t>
  </si>
  <si>
    <t>Module 01 - Gioi Thieu</t>
  </si>
  <si>
    <t>Module 02 - Tong Quan Va Khai Niem Co Ban Ve Vibe Coding</t>
  </si>
  <si>
    <t>Module 03 - Tu No-Code Den Vibe Coding</t>
  </si>
  <si>
    <t>Module 04 - Ky Nang Prompting Vibe Code</t>
  </si>
  <si>
    <t>Module 05 - Thuc Hanh Du An Vibe Code</t>
  </si>
  <si>
    <t>Module 06 - Tong Ket Va Qua Tang</t>
  </si>
  <si>
    <t>THEO DÕI KHÓA HỌC — Backend Developer Roadmap Workspace</t>
  </si>
  <si>
    <t>C18</t>
  </si>
  <si>
    <t>02 - Lập trình &amp; Phát triển phần mềm</t>
  </si>
  <si>
    <t>01 - Web &amp; Backend</t>
  </si>
  <si>
    <t>D:\Sao lưu\Udemy\Khóa học\02 - Lập trình &amp; Phát triển phần mềm\01 - Web &amp; Backend\backend-developer-roadmap</t>
  </si>
  <si>
    <t>B — 00 - Roadmap.sh Backend Official</t>
  </si>
  <si>
    <t>D — 00 - Roadmap.sh DevOps Official</t>
  </si>
  <si>
    <t>THEO DÕI KHÓA HỌC — frontend-developer-roadmap</t>
  </si>
  <si>
    <t>C19</t>
  </si>
  <si>
    <t>D:\Sao lưu\Udemy\Khóa học\02 - Lập trình &amp; Phát triển phần mềm\01 - Web &amp; Backend\frontend-developer-roadmap</t>
  </si>
  <si>
    <t>00 - Roadmap.sh Frontend Official</t>
  </si>
  <si>
    <t>THEO DÕI KHÓA HỌC — full-stack-developer-roadmap</t>
  </si>
  <si>
    <t>C20</t>
  </si>
  <si>
    <t>D:\Sao lưu\Udemy\Khóa học\02 - Lập trình &amp; Phát triển phần mềm\01 - Web &amp; Backend\full-stack-developer-roadmap</t>
  </si>
  <si>
    <t>00 - Roadmap.sh Full Stack Official</t>
  </si>
  <si>
    <t>THEO DÕI KHÓA HỌC — NodeJS - The Complete Guide</t>
  </si>
  <si>
    <t>C21</t>
  </si>
  <si>
    <t>D:\Sao lưu\Udemy\Khóa học\02 - Lập trình &amp; Phát triển phần mềm\01 - Web &amp; Backend\nodejs-the-complete-guide</t>
  </si>
  <si>
    <t>02 - Optional JavaScript - A Quick Refresher</t>
  </si>
  <si>
    <t>03 - Understanding the Basics</t>
  </si>
  <si>
    <t>04 - Improved Development Workflow and Debugging</t>
  </si>
  <si>
    <t>05 - Working with Express.js</t>
  </si>
  <si>
    <t>06 - Working with Dynamic Content &amp; Adding Templating Engines</t>
  </si>
  <si>
    <t>07 - The Model View Controller (MVC)</t>
  </si>
  <si>
    <t>08 - Optional Enhancing the App</t>
  </si>
  <si>
    <t>09 - Dynamic Routes &amp; Advanced Models</t>
  </si>
  <si>
    <t>10 - SQL Introduction</t>
  </si>
  <si>
    <t>11 - Understanding Sequelize</t>
  </si>
  <si>
    <t>12 - Working with NoSQL &amp; Using MongoDB</t>
  </si>
  <si>
    <t>13 - Working with Mongoose</t>
  </si>
  <si>
    <t>14 - Sessions &amp; Cookies</t>
  </si>
  <si>
    <t>15 - Adding Authentication</t>
  </si>
  <si>
    <t>16 - Sending Emails</t>
  </si>
  <si>
    <t>17 - Advanced Authentication</t>
  </si>
  <si>
    <t>18 - Understanding Validation</t>
  </si>
  <si>
    <t>19 - Error Handling</t>
  </si>
  <si>
    <t>20 - File Upload &amp; Download</t>
  </si>
  <si>
    <t>21 - Adding Pagination</t>
  </si>
  <si>
    <t>22 - Understanding Async Requests</t>
  </si>
  <si>
    <t>23 - Adding Payments</t>
  </si>
  <si>
    <t>24 - Working with REST APIs - The Basics</t>
  </si>
  <si>
    <t>25 - Working with REST APIs - The Practical Application</t>
  </si>
  <si>
    <t>26 - Understanding Async Await in Node.js</t>
  </si>
  <si>
    <t>27 - Understanding Websockets &amp; Socket.io</t>
  </si>
  <si>
    <t>28 - Working with GraphQL</t>
  </si>
  <si>
    <t>29 - Deploying our App</t>
  </si>
  <si>
    <t>30 - Testing Node.js Applications</t>
  </si>
  <si>
    <t>31 - Node.js as a Build Tool &amp; Using npm</t>
  </si>
  <si>
    <t>32 - Modern JavaScript &amp; NodeJS</t>
  </si>
  <si>
    <t>33 - NodeJS &amp; TypeScript</t>
  </si>
  <si>
    <t>34 - An Introduction to Deno</t>
  </si>
  <si>
    <t>35 - Deno, CRUD &amp; Databases (MongoDB)</t>
  </si>
  <si>
    <t>36 - Roundup</t>
  </si>
  <si>
    <t>THEO DÕI KHÓA HỌC — postgresql-dba-roadmap</t>
  </si>
  <si>
    <t>C22</t>
  </si>
  <si>
    <t>D:\Sao lưu\Udemy\Khóa học\02 - Lập trình &amp; Phát triển phần mềm\01 - Web &amp; Backend\postgresql-dba-roadmap</t>
  </si>
  <si>
    <t>00 - Roadmap.sh PostgreSQL DBA Official</t>
  </si>
  <si>
    <t>THEO DÕI KHÓA HỌC — Android Developer Roadmap Course</t>
  </si>
  <si>
    <t>C23</t>
  </si>
  <si>
    <t>02 - Mobile</t>
  </si>
  <si>
    <t>D:\Sao lưu\Udemy\Khóa học\02 - Lập trình &amp; Phát triển phần mềm\02 - Mobile\android-roadmap</t>
  </si>
  <si>
    <t>00 - Roadmap.sh Android Developer Official</t>
  </si>
  <si>
    <t>THEO DÕI KHÓA HỌC — 3-in-1 Flutter AI Masterclass: 15 Apps with Cursor &amp; Figma</t>
  </si>
  <si>
    <t>C24</t>
  </si>
  <si>
    <t>D:\Sao lưu\Udemy\Khóa học\02 - Lập trình &amp; Phát triển phần mềm\02 - Mobile\flutter-ai-masterclass-cursor-figma</t>
  </si>
  <si>
    <t>02 - Flutter Setup on macOS - Build Android &amp; iOS Apps</t>
  </si>
  <si>
    <t>03 - Flutter Setup on Windows</t>
  </si>
  <si>
    <t>04 - Expense Tracker - Your First App with Cursor</t>
  </si>
  <si>
    <t>05 - Figma</t>
  </si>
  <si>
    <t>06 - Calculator - Design with Figma, Build with Cursor</t>
  </si>
  <si>
    <t>07 - Notes App - First Multi-Screen App</t>
  </si>
  <si>
    <t>08 - Weather App with Cursor AI</t>
  </si>
  <si>
    <t>09 - Design &amp; Build AI Meal Planner</t>
  </si>
  <si>
    <t>10 - WhatsApp Clone with Cursor</t>
  </si>
  <si>
    <t>11 - WhatsApp Clone - Media, Groups &amp; Figma UI</t>
  </si>
  <si>
    <t>12 - WhatsApp Clone - App Enhancements</t>
  </si>
  <si>
    <t>13 - E-Commerce Store with Cursor AI</t>
  </si>
  <si>
    <t>14 - Fitness App UI Design with Figma AI</t>
  </si>
  <si>
    <t>15 - E-Commerce App UI Design</t>
  </si>
  <si>
    <t>16 - AI Chatbot App UI</t>
  </si>
  <si>
    <t>17 - Travel Booking &amp; Hotel Reservation App UI</t>
  </si>
  <si>
    <t>18 - Food Delivery App UI</t>
  </si>
  <si>
    <t>19 - Finance &amp; Expense Tracker App UI</t>
  </si>
  <si>
    <t>20 - Restaurant Table Reservation App UI</t>
  </si>
  <si>
    <t>21 - Banking App UI</t>
  </si>
  <si>
    <t>22 - Grocery Delivery App UI</t>
  </si>
  <si>
    <t>THEO DÕI KHÓA HỌC — Flutter &amp; Dart: The Complete Guide</t>
  </si>
  <si>
    <t>C25</t>
  </si>
  <si>
    <t>D:\Sao lưu\Udemy\Khóa học\02 - Lập trình &amp; Phát triển phần mềm\02 - Mobile\flutter-dart-the-complete-guide</t>
  </si>
  <si>
    <t>02 - Flutter &amp; Dart Basics I - Getting a Solid Foundation [ROLL DICE APP]</t>
  </si>
  <si>
    <t>03 - Flutter &amp; Dart Basics II - Fundamentals Deep Dive [QUIZ APP]</t>
  </si>
  <si>
    <t>04 - Debugging Flutter Apps</t>
  </si>
  <si>
    <t>05 - Adding Interactivity, More Widgets &amp; Theming [EXPENSE TRACKER APP]</t>
  </si>
  <si>
    <t>06 - Building Responsive &amp; Adaptive User Interfaces [EXPENSE TRACKER APP]</t>
  </si>
  <si>
    <t>07 - Flutter &amp; Dart Internals [TODO APP]</t>
  </si>
  <si>
    <t>08 - Building Multi-Screen Apps &amp; Navigating Between Screens [MEALS APP]</t>
  </si>
  <si>
    <t>09 - State Management with Riverpod</t>
  </si>
  <si>
    <t>10 - Animations</t>
  </si>
  <si>
    <t>11 - Forms &amp; User Input [SHOPPING LIST APP]</t>
  </si>
  <si>
    <t>12 - HTTP, Networking &amp; Backend Communication</t>
  </si>
  <si>
    <t>13 - Native Device Features, Camera, Maps &amp; Local Storage</t>
  </si>
  <si>
    <t>14 - Firebase, Authentication &amp; Push Notifications</t>
  </si>
  <si>
    <t>15 - Course Roundup &amp; Bonus</t>
  </si>
  <si>
    <t>THEO DÕI KHÓA HỌC — ios-roadmap</t>
  </si>
  <si>
    <t>C26</t>
  </si>
  <si>
    <t>D:\Sao lưu\Udemy\Khóa học\02 - Lập trình &amp; Phát triển phần mềm\02 - Mobile\ios-roadmap</t>
  </si>
  <si>
    <t>00 - Roadmap.sh iOS Developer Official</t>
  </si>
  <si>
    <t>THEO DÕI KHÓA HỌC — Enterprise Integration Engineer Course</t>
  </si>
  <si>
    <t>C27</t>
  </si>
  <si>
    <t>03 - Kiến trúc &amp; Tích hợp</t>
  </si>
  <si>
    <t>D:\Sao lưu\Udemy\Khóa học\02 - Lập trình &amp; Phát triển phần mềm\03 - Kiến trúc &amp; Tích hợp\enterprise-integration-engineer-roadmap</t>
  </si>
  <si>
    <t>01 - Phase 1 - Backend Foundations and Integration</t>
  </si>
  <si>
    <t>02 - Phase 2 - SOAP, XML, WSDL and Legacy Integration</t>
  </si>
  <si>
    <t>03 - Phase 3 - TIBCO BW6 In Depth</t>
  </si>
  <si>
    <t>04 - Phase 4 - API Gateway Kong and WSO2</t>
  </si>
  <si>
    <t>05 - Phase 5 - Kafka, Redis and Async Architecture</t>
  </si>
  <si>
    <t>06 - Phase 6 - Production Engineering</t>
  </si>
  <si>
    <t>07 - Phase 7 - Capstone Project</t>
  </si>
  <si>
    <t>THEO DÕI KHÓA HỌC — software-architect-roadmap</t>
  </si>
  <si>
    <t>C28</t>
  </si>
  <si>
    <t>D:\Sao lưu\Udemy\Khóa học\02 - Lập trình &amp; Phát triển phần mềm\03 - Kiến trúc &amp; Tích hợp\software-architect-roadmap</t>
  </si>
  <si>
    <t>00 - Roadmap.sh Software Architect Official</t>
  </si>
  <si>
    <t>THEO DÕI KHÓA HỌC — qa-roadmap</t>
  </si>
  <si>
    <t>C29</t>
  </si>
  <si>
    <t>04 - Kiểm thử phần mềm</t>
  </si>
  <si>
    <t>D:\Sao lưu\Udemy\Khóa học\02 - Lập trình &amp; Phát triển phần mềm\04 - Kiểm thử phần mềm\qa-roadmap</t>
  </si>
  <si>
    <t>00 - Roadmap.sh QA Engineer Official</t>
  </si>
  <si>
    <t>THEO DÕI KHÓA HỌC — Fundamentals of Backend Communications &amp; Protocols</t>
  </si>
  <si>
    <t>C30</t>
  </si>
  <si>
    <t>03 - Hạ tầng, Mạng &amp; An ninh</t>
  </si>
  <si>
    <t>01 - Mạng &amp; Giao tiếp hệ thống</t>
  </si>
  <si>
    <t>D:\Sao lưu\Udemy\Khóa học\03 - Hạ tầng, Mạng &amp; An ninh\01 - Mạng &amp; Giao tiếp hệ thống\fundamentals-of-backend-communications-and-protocols</t>
  </si>
  <si>
    <t>02 - Backend Communication Design Patterns</t>
  </si>
  <si>
    <t>03 - Protocols</t>
  </si>
  <si>
    <t>04 - Many Ways to HTTPS</t>
  </si>
  <si>
    <t>05 - Backend Execution Patterns</t>
  </si>
  <si>
    <t>06 - Proxying and Load Balancing</t>
  </si>
  <si>
    <t>07 - Extras</t>
  </si>
  <si>
    <t>08 - Bonus Content</t>
  </si>
  <si>
    <t>THEO DÕI KHÓA HỌC — network-engineer-roadmap</t>
  </si>
  <si>
    <t>C31</t>
  </si>
  <si>
    <t>D:\Sao lưu\Udemy\Khóa học\03 - Hạ tầng, Mạng &amp; An ninh\01 - Mạng &amp; Giao tiếp hệ thống\network-engineer-roadmap</t>
  </si>
  <si>
    <t>00 - Roadmap.sh Network Engineer Official</t>
  </si>
  <si>
    <t>99 - Network Engineering Labs</t>
  </si>
  <si>
    <t>THEO DÕI KHÓA HỌC — Cyber Security Expert Roadmap 2026</t>
  </si>
  <si>
    <t>C32</t>
  </si>
  <si>
    <t>02 - An ninh mạng &amp; DevSecOps</t>
  </si>
  <si>
    <t>D:\Sao lưu\Udemy\Khóa học\03 - Hạ tầng, Mạng &amp; An ninh\02 - An ninh mạng &amp; DevSecOps\cyber-security-roadmap</t>
  </si>
  <si>
    <t>00 - Cyber Security Expert Roadmap 2026</t>
  </si>
  <si>
    <t>THEO DÕI KHÓA HỌC — devsecops-roadmap</t>
  </si>
  <si>
    <t>C33</t>
  </si>
  <si>
    <t>D:\Sao lưu\Udemy\Khóa học\03 - Hạ tầng, Mạng &amp; An ninh\02 - An ninh mạng &amp; DevSecOps\devsecops-roadmap</t>
  </si>
  <si>
    <t>00 - Roadmap.sh DevSecOps Official</t>
  </si>
  <si>
    <t>THEO DÕI KHÓA HỌC — blockchain-roadmap</t>
  </si>
  <si>
    <t>C34</t>
  </si>
  <si>
    <t>03 - Blockchain &amp; Web3</t>
  </si>
  <si>
    <t>D:\Sao lưu\Udemy\Khóa học\03 - Hạ tầng, Mạng &amp; An ninh\03 - Blockchain &amp; Web3\blockchain-roadmap</t>
  </si>
  <si>
    <t>00 - Roadmap.sh Blockchain Developer Official</t>
  </si>
  <si>
    <t>THEO DÕI KHÓA HỌC — Build a Design System - Full Course</t>
  </si>
  <si>
    <t>C35</t>
  </si>
  <si>
    <t>04 - Thiết kế &amp; Sáng tạo số</t>
  </si>
  <si>
    <t>01 - UX-UI &amp; Design Systems</t>
  </si>
  <si>
    <t>D:\Sao lưu\Udemy\Khóa học\04 - Thiết kế &amp; Sáng tạo số\01 - UX-UI &amp; Design Systems\build-a-design-system-full-course</t>
  </si>
  <si>
    <t>02 - Design Tokens &amp; Variables Setup</t>
  </si>
  <si>
    <t>03 - Multi-Brand, Themes &amp; Mapped Variables</t>
  </si>
  <si>
    <t>04 - Typography &amp; Responsive System</t>
  </si>
  <si>
    <t>05 - Icons, Variable Scoping &amp; First Component</t>
  </si>
  <si>
    <t>06 - Form Components</t>
  </si>
  <si>
    <t>07 - Navigation &amp; Layout Components</t>
  </si>
  <si>
    <t>08 - Display &amp; Feedback Components</t>
  </si>
  <si>
    <t>09 - Publishing &amp; Scaling</t>
  </si>
  <si>
    <t>THEO DÕI KHÓA HỌC — Design System &amp; Figma Variable Set Up - Full Tutorial</t>
  </si>
  <si>
    <t>C36</t>
  </si>
  <si>
    <t>D:\Sao lưu\Udemy\Khóa học\04 - Thiết kế &amp; Sáng tạo số\01 - UX-UI &amp; Design Systems\design-system-figma-variable-setup-full-tutorial</t>
  </si>
  <si>
    <t>01 - Introduction to Figma Variables &amp; Design Token Architecture</t>
  </si>
  <si>
    <t>02 - Brand Collection Setup</t>
  </si>
  <si>
    <t>03 - Scale System</t>
  </si>
  <si>
    <t>04 - Alias Collection</t>
  </si>
  <si>
    <t>05 - Multi-Brand Token Setup</t>
  </si>
  <si>
    <t>06 - Mapped Collection</t>
  </si>
  <si>
    <t>07 - Dark Mode Variables</t>
  </si>
  <si>
    <t>08 - Responsive Variables</t>
  </si>
  <si>
    <t>09 - Spacing &amp; Jumper Variables</t>
  </si>
  <si>
    <t>10 - Course Wrap-Up</t>
  </si>
  <si>
    <t>THEO DÕI KHÓA HỌC — ux-design-roadmap</t>
  </si>
  <si>
    <t>C37</t>
  </si>
  <si>
    <t>D:\Sao lưu\Udemy\Khóa học\04 - Thiết kế &amp; Sáng tạo số\01 - UX-UI &amp; Design Systems\ux-design-roadmap</t>
  </si>
  <si>
    <t>00 - Roadmap.sh UX Design Official</t>
  </si>
  <si>
    <t>THEO DÕI KHÓA HỌC — The Complete Vibe coding for UX/UI Designers</t>
  </si>
  <si>
    <t>C38</t>
  </si>
  <si>
    <t>D:\Sao lưu\Udemy\Khóa học\04 - Thiết kế &amp; Sáng tạo số\01 - UX-UI &amp; Design Systems\vibe-coding-for-ux-ui-designers</t>
  </si>
  <si>
    <t>01 - Introduction to Vibe Coding for UX-UI Designers</t>
  </si>
  <si>
    <t>02 - Mastering Prompts</t>
  </si>
  <si>
    <t>03 - AI as Your Design Partner</t>
  </si>
  <si>
    <t>04 - Figma Project - Prototyping and animation</t>
  </si>
  <si>
    <t>05 - Building Design systems</t>
  </si>
  <si>
    <t>06 - Using Lovable AI</t>
  </si>
  <si>
    <t>07 - Using Cursor</t>
  </si>
  <si>
    <t>08 - Using Windsurf</t>
  </si>
  <si>
    <t>09 - Using V0</t>
  </si>
  <si>
    <t>10 - Build, Test, Deploy</t>
  </si>
  <si>
    <t>11 - GenAI for Vibe Coding and Development</t>
  </si>
  <si>
    <t>12 - AI Ethics and Career Growth with AI</t>
  </si>
  <si>
    <t>13 - Advanced Prompt Engineering Tactics</t>
  </si>
  <si>
    <t>14 - Final</t>
  </si>
  <si>
    <t>THEO DÕI KHÓA HỌC — Claude Code + Figma MCP Server for Design to Code</t>
  </si>
  <si>
    <t>C39</t>
  </si>
  <si>
    <t>02 - Figma &amp; Design-to-Code</t>
  </si>
  <si>
    <t>D:\Sao lưu\Udemy\Khóa học\04 - Thiết kế &amp; Sáng tạo số\02 - Figma &amp; Design-to-Code\claude-code-figma-mcp-design-to-code</t>
  </si>
  <si>
    <t>Lessons</t>
  </si>
  <si>
    <t>THEO DÕI KHÓA HỌC — Design to Code with Figma MCP and Cursor</t>
  </si>
  <si>
    <t>C40</t>
  </si>
  <si>
    <t>D:\Sao lưu\Udemy\Khóa học\04 - Thiết kế &amp; Sáng tạo số\02 - Figma &amp; Design-to-Code\design-to-code-figma-mcp-cursor</t>
  </si>
  <si>
    <t>THEO DÕI KHÓA HỌC — Vibe-Coding Figma Design System Components with Cursor &amp; Figma MCP</t>
  </si>
  <si>
    <t>C41</t>
  </si>
  <si>
    <t>D:\Sao lưu\Udemy\Khóa học\04 - Thiết kế &amp; Sáng tạo số\02 - Figma &amp; Design-to-Code\figma-mcp-cursor-vibe-coding</t>
  </si>
  <si>
    <t>THEO DÕI KHÓA HỌC — Figma to Angular Mastery: Design to Code with AI</t>
  </si>
  <si>
    <t>C42</t>
  </si>
  <si>
    <t>D:\Sao lưu\Udemy\Khóa học\04 - Thiết kế &amp; Sáng tạo số\02 - Figma &amp; Design-to-Code\figma-to-angular-mastery</t>
  </si>
  <si>
    <t>01 - Welcome and Setup</t>
  </si>
  <si>
    <t>02 - Crash Course - Figma for Non-Designers</t>
  </si>
  <si>
    <t>03 - AI plus Windsurf Editor Magic</t>
  </si>
  <si>
    <t>04 - Reading Figma Like a Developer</t>
  </si>
  <si>
    <t>05 - Atoms in Angular</t>
  </si>
  <si>
    <t>06 - Molecules in Angular</t>
  </si>
  <si>
    <t>07 - Organisms in Angular</t>
  </si>
  <si>
    <t>08 - Templates and Pages</t>
  </si>
  <si>
    <t>09 - Final Wrap-Up and Project</t>
  </si>
  <si>
    <t>THEO DÕI KHÓA HỌC — Converting Figma Designs to Code with Cursor + Figma MCP</t>
  </si>
  <si>
    <t>C43</t>
  </si>
  <si>
    <t>D:\Sao lưu\Udemy\Khóa học\04 - Thiết kế &amp; Sáng tạo số\02 - Figma &amp; Design-to-Code\figma-to-code-cursor-mcp</t>
  </si>
  <si>
    <t>THEO DÕI KHÓA HỌC — From Figma to Cursor &amp; Claude Code with MCP — Building Sidebling.com</t>
  </si>
  <si>
    <t>C44</t>
  </si>
  <si>
    <t>D:\Sao lưu\Udemy\Khóa học\04 - Thiết kế &amp; Sáng tạo số\02 - Figma &amp; Design-to-Code\figma-to-cursor-claude-code-mcp</t>
  </si>
  <si>
    <t>THEO DÕI KHÓA HỌC — 01 - Blender tổng quát</t>
  </si>
  <si>
    <t>C45</t>
  </si>
  <si>
    <t>03 - Blender &amp; 3D</t>
  </si>
  <si>
    <t>D:\Sao lưu\Udemy\Khóa học\04 - Thiết kế &amp; Sáng tạo số\03 - Blender &amp; 3D\01 - Blender tổng quát</t>
  </si>
  <si>
    <t>c — 01 - Introduction to Blender</t>
  </si>
  <si>
    <t>c — 02 - Modeling in Blender</t>
  </si>
  <si>
    <t>c — 03 - Materials</t>
  </si>
  <si>
    <t>c — 04 - Lights</t>
  </si>
  <si>
    <t>c — 05 - Sculpting</t>
  </si>
  <si>
    <t>c — 06 - Camera &amp; Rendering</t>
  </si>
  <si>
    <t>c — 07 - Animation</t>
  </si>
  <si>
    <t>c — 08 - Practice</t>
  </si>
  <si>
    <t>complete-blender-creator-3d-modelling — 01 - Introduction &amp; Setup</t>
  </si>
  <si>
    <t>complete-blender-creator-3d-modelling — 02 - Modular Dungeon</t>
  </si>
  <si>
    <t>complete-blender-creator-3d-modelling — 03 - Low-Poly Dinosaur</t>
  </si>
  <si>
    <t>complete-blender-creator-3d-modelling — 04 - UV Mapping</t>
  </si>
  <si>
    <t>complete-blender-creator-3d-modelling — 05 - Rigging &amp; Animation</t>
  </si>
  <si>
    <t>complete-blender-creator-3d-modelling — 06 - Sculpting a Cartoon Head</t>
  </si>
  <si>
    <t>c — 01 - Getting Started with Blender</t>
  </si>
  <si>
    <t>c — 02 - Your First Modeling Tools</t>
  </si>
  <si>
    <t>c — 03 - Building the Fantasy Cabin</t>
  </si>
  <si>
    <t>c — 04 - Materials, Lighting &amp; Rendering</t>
  </si>
  <si>
    <t>c — 05 - Basics- Introduction to Blender</t>
  </si>
  <si>
    <t>c — 06 - Basics- Mesh Modeling</t>
  </si>
  <si>
    <t>c — 07 - Basics- Mesh Editing Operations I</t>
  </si>
  <si>
    <t>c — 08 - Basics- Most Common Modifiers</t>
  </si>
  <si>
    <t>c — 09 - Basics- Using Orthographic Reference</t>
  </si>
  <si>
    <t>c — 10 - Basics- Mesh Editing Operations II</t>
  </si>
  <si>
    <t>c — 11 - Basics- Sculpting</t>
  </si>
  <si>
    <t>c — 12 - Basics- Methods of Subdivision for Sculpting</t>
  </si>
  <si>
    <t>c — 13 - Basics- Sculpting with Symmetry</t>
  </si>
  <si>
    <t>c — 14 - Basics- Retopology</t>
  </si>
  <si>
    <t>c — 15 - Basics- High-Res Sculpting</t>
  </si>
  <si>
    <t>c — 16 - Basics- Introduction to Textures and Materials</t>
  </si>
  <si>
    <t>c — 17 - Basics- UVs</t>
  </si>
  <si>
    <t>c — 18 - Basics- 3D Texture Painting</t>
  </si>
  <si>
    <t>c — 19 - Basics- Normal Maps</t>
  </si>
  <si>
    <t>c — 20 - Basics- Rendering</t>
  </si>
  <si>
    <t>c — 21 - Basics- Final Project</t>
  </si>
  <si>
    <t>c — 22 - Character Creation- Fundamentals of Blender</t>
  </si>
  <si>
    <t>c — 23 - Character Creation- Modeling a Simple Stylized Character</t>
  </si>
  <si>
    <t>c — 24 - Character Creation- Fundamentals of Sculpting in Blender</t>
  </si>
  <si>
    <t>c — 25 - Character Creation- Final Project</t>
  </si>
  <si>
    <t>c — 26 - 3D Environments- Introduction and Overview</t>
  </si>
  <si>
    <t>c — 27 - 3D Environments- Quick Design Principles</t>
  </si>
  <si>
    <t>c — 28 - 3D Environments- Important Tips and Shortcuts</t>
  </si>
  <si>
    <t>c — 29 - 3D Environments- Starting</t>
  </si>
  <si>
    <t>c — 30 - 3D Environments- Texturing</t>
  </si>
  <si>
    <t>c — 31 - 3D Environments- Modeling</t>
  </si>
  <si>
    <t>c — 32 - 3D Environments- Destroying and Detailing Assets</t>
  </si>
  <si>
    <t>c — 33 - 3D Environments- Sculpting</t>
  </si>
  <si>
    <t>c — 34 - 3D Environments- Lighting and Camera Settings</t>
  </si>
  <si>
    <t>c — 35 - 3D Environments- Rendering and Compositing</t>
  </si>
  <si>
    <t>c — 36 - Bonus- Fast Learning</t>
  </si>
  <si>
    <t>THEO DÕI KHÓA HỌC — 02 - Animation cá trong Blender</t>
  </si>
  <si>
    <t>C46</t>
  </si>
  <si>
    <t>D:\Sao lưu\Udemy\Khóa học\04 - Thiết kế &amp; Sáng tạo số\03 - Blender &amp; 3D\02 - Animation cá trong Blender</t>
  </si>
  <si>
    <t>animate-and-render-a-fish-in-blender</t>
  </si>
  <si>
    <t>blender-2-8-particle-school-of-fish-following-a-leader</t>
  </si>
  <si>
    <t>creating-an-animated-school-of-fish-in-blender</t>
  </si>
  <si>
    <t>the-secret-to-easy-fish-animation-in-blender</t>
  </si>
  <si>
    <t>THEO DÕI KHÓA HỌC — 03 - VFX &amp; mô phỏng Blender</t>
  </si>
  <si>
    <t>C47</t>
  </si>
  <si>
    <t>D:\Sao lưu\Udemy\Khóa học\04 - Thiết kế &amp; Sáng tạo số\03 - Blender &amp; 3D\03 - VFX &amp; mô phỏng Blender</t>
  </si>
  <si>
    <t>blender-2-8-tutorial-cell-fracture-explosion</t>
  </si>
  <si>
    <t>blender-tutorial-quick-explosion-simulation-with-mantaflow-in-cycles</t>
  </si>
  <si>
    <t>blender-tutorial-surface-cracks</t>
  </si>
  <si>
    <t>how-to-create-glowing-surface-cracks-blender-tutorial</t>
  </si>
  <si>
    <t>THEO DÕI KHÓA HỌC — 04 - Giải phẫu &amp; phát triển bộ xương cá</t>
  </si>
  <si>
    <t>C48</t>
  </si>
  <si>
    <t>D:\Sao lưu\Udemy\Khóa học\04 - Thiết kế &amp; Sáng tạo số\03 - Blender &amp; 3D\04 - Giải phẫu &amp; phát triển bộ xương cá</t>
  </si>
  <si>
    <t>astatotilapia-burtoni-skeletal-ontogeny — 01 - Foundations and Study Guide</t>
  </si>
  <si>
    <t>astatotilapia-burtoni-skeletal-ontogeny — 02 - Embryonic Development</t>
  </si>
  <si>
    <t>astatotilapia-burtoni-skeletal-ontogeny — 03 - Axial and Median Fins</t>
  </si>
  <si>
    <t>astatotilapia-burtoni-skeletal-ontogeny — 04 - Paired Fins</t>
  </si>
  <si>
    <t>astatotilapia-burtoni-skeletal-ontogeny — 05 - Caudal, Scales, and Cranium</t>
  </si>
  <si>
    <t>astatotilapia-burtoni-skeletal-ontogeny — 06 - Methods and Evo-Devo</t>
  </si>
  <si>
    <t>astatotilapia-burtoni-skeletal-ontogeny — 07 - Figures and Study Tools</t>
  </si>
  <si>
    <t>astatotilia-burtoni-skeletal-ontogeny — 03 - Axial and Median Fins</t>
  </si>
  <si>
    <t>astatotilia-burtoni-skeletal-ontogeny — 07 - Figures and Study Tools</t>
  </si>
  <si>
    <t>THEO DÕI KHÓA HỌC — 05 - Cơ học &amp; thủy động lực học bơi cá</t>
  </si>
  <si>
    <t>C49</t>
  </si>
  <si>
    <t>D:\Sao lưu\Udemy\Khóa học\04 - Thiết kế &amp; Sáng tạo số\03 - Blender &amp; 3D\05 - Cơ học &amp; thủy động lực học bơi cá</t>
  </si>
  <si>
    <t>hydrodynamics-of-fishlike-swimming — 01-nen-tang</t>
  </si>
  <si>
    <t>hydrodynamics-of-fishlike-swimming — 02-canh-dao-dong</t>
  </si>
  <si>
    <t>hydrodynamics-of-fishlike-swimming — 03-boi-on-dinh</t>
  </si>
  <si>
    <t>hydrodynamics-of-fishlike-swimming — 04-co-dong</t>
  </si>
  <si>
    <t>hydrodynamics-of-fishlike-swimming — 05-biomimetic</t>
  </si>
  <si>
    <t>hydrodynamics-of-fishlike-swimming — 06-on-tap</t>
  </si>
  <si>
    <t>hydrodynamics-of-fishlike-swimming — 07-phu-luc</t>
  </si>
  <si>
    <t>lauder-tytell-2006-hydrodynamics — 01 - Propulsion Foundations</t>
  </si>
  <si>
    <t>lauder-tytell-2006-hydrodynamics — 02 - Mathematical Models</t>
  </si>
  <si>
    <t>lauder-tytell-2006-hydrodynamics — 03 - Experimental Methods and Wakes</t>
  </si>
  <si>
    <t>lauder-tytell-2006-hydrodynamics — 04 - Whole-body Hydrodynamics and Turbulence</t>
  </si>
  <si>
    <t>lauder-tytell-2006-hydrodynamics — 05 - Theory, Evidence, and Future Work</t>
  </si>
  <si>
    <t>lauder-tytell-2006-hydrodynamics — 06 - Figures, Terminology, and References</t>
  </si>
  <si>
    <t>review-of-fish-swimming-modes — 01 - Foundations and Classification</t>
  </si>
  <si>
    <t>review-of-fish-swimming-modes — 02 - BCF Propulsion and Wake</t>
  </si>
  <si>
    <t>review-of-fish-swimming-modes — 03 - Lunate Tail and Undulatory Fins</t>
  </si>
  <si>
    <t>review-of-fish-swimming-modes — 04 - Oscillatory and Labriform Propulsion</t>
  </si>
  <si>
    <t>review-of-fish-swimming-modes — 05 - Comparison and Applications</t>
  </si>
  <si>
    <t>review-of-fish-swimming-modes — 06 - References and Study Tools</t>
  </si>
  <si>
    <t>THEO DÕI KHÓA HỌC — Complete C# Unity 2D Game Development - Updated To Unity 6</t>
  </si>
  <si>
    <t>C50</t>
  </si>
  <si>
    <t>05 - Phát triển game</t>
  </si>
  <si>
    <t>01 - Unity &amp; C#</t>
  </si>
  <si>
    <t>D:\Sao lưu\Udemy\Khóa học\05 - Phát triển game\01 - Unity &amp; C#\complete-csharp-unity-2d-game-development-unity-6</t>
  </si>
  <si>
    <t>01 - Introduction and Setup</t>
  </si>
  <si>
    <t>02 - Delivery Dash</t>
  </si>
  <si>
    <t>03 - Snow Surfer</t>
  </si>
  <si>
    <t>04 - Tilemania</t>
  </si>
  <si>
    <t>05 - Star Blaster</t>
  </si>
  <si>
    <t>06 - Bonus One Last Thing</t>
  </si>
  <si>
    <t>THEO DÕI KHÓA HỌC — Complete C# Unity 3D Game Development in Unity 6</t>
  </si>
  <si>
    <t>C51</t>
  </si>
  <si>
    <t>D:\Sao lưu\Udemy\Khóa học\05 - Phát triển game\01 - Unity &amp; C#\complete-csharp-unity-3d-game-development-unity-6</t>
  </si>
  <si>
    <t>02 - Obstacle Dodge</t>
  </si>
  <si>
    <t>03 - Rocket Boost</t>
  </si>
  <si>
    <t>04 - Galaxy Strike</t>
  </si>
  <si>
    <t>05 - Royal Run</t>
  </si>
  <si>
    <t>06 - Sharp Shooter</t>
  </si>
  <si>
    <t>07 - Bonus- One Last Thing</t>
  </si>
  <si>
    <t>THEO DÕI KHÓA HỌC — Mastering Ren'Py: Create Visual Novels Like a Pro</t>
  </si>
  <si>
    <t>C52</t>
  </si>
  <si>
    <t>02 - Ren'Py &amp; Visual Novels</t>
  </si>
  <si>
    <t>D:\Sao lưu\Udemy\Khóa học\05 - Phát triển game\02 - Ren'Py &amp; Visual Novels\mastering-renpy-create-visual-novels-like-a-pro</t>
  </si>
  <si>
    <t>01 - Installation and Interface of RenPy</t>
  </si>
  <si>
    <t>02 - Creating Your First Game</t>
  </si>
  <si>
    <t>THEO DÕI KHÓA HỌC — Python Basics for Ren'Py Developers</t>
  </si>
  <si>
    <t>C53</t>
  </si>
  <si>
    <t>D:\Sao lưu\Udemy\Khóa học\05 - Phát triển game\02 - Ren'Py &amp; Visual Novels\python-basics-for-renpy-developers</t>
  </si>
  <si>
    <t>02 - Variables in Python</t>
  </si>
  <si>
    <t>03 - Data Structures in Python</t>
  </si>
  <si>
    <t>04 - Python Statements</t>
  </si>
  <si>
    <t>05 - Advanced Topics Functions and Classes</t>
  </si>
  <si>
    <t>06 - Python Resources</t>
  </si>
  <si>
    <t>THEO DÕI KHÓA HỌC — Ren'Py Minigames 101</t>
  </si>
  <si>
    <t>C54</t>
  </si>
  <si>
    <t>D:\Sao lưu\Udemy\Khóa học\05 - Phát triển game\02 - Ren'Py &amp; Visual Novels\renpy-minigames-101</t>
  </si>
  <si>
    <t>02 - Rendering the Game View</t>
  </si>
  <si>
    <t>03 - Detecting Player Interaction Events</t>
  </si>
  <si>
    <t>04 - Bonus Features Course Recap and Conclusion</t>
  </si>
  <si>
    <t>THEO DÕI KHÓA HỌC — Indie Game Design - Build Your Game's Core System</t>
  </si>
  <si>
    <t>C55</t>
  </si>
  <si>
    <t>03 - Game Design</t>
  </si>
  <si>
    <t>D:\Sao lưu\Udemy\Khóa học\05 - Phát triển game\03 - Game Design\indie-game-design-build-your-games-core-system</t>
  </si>
  <si>
    <t>02 - Understand How to Build a Core Gameplay</t>
  </si>
  <si>
    <t>03 - Workshop - Define Your Game System, Part 1</t>
  </si>
  <si>
    <t>04 - Build Your Engagement Gameplay to Keep Your Players</t>
  </si>
  <si>
    <t>05 - Workshop - Define Your Game System, Part 2</t>
  </si>
  <si>
    <t>06 - Design Support Features That Will Make Your Game Shine</t>
  </si>
  <si>
    <t>07 - Workshop - Define Your Game System, Part 3</t>
  </si>
  <si>
    <t>08 - Conclusion</t>
  </si>
  <si>
    <t>THEO DÕI KHÓA HỌC — game-developer-roadmap</t>
  </si>
  <si>
    <t>C56</t>
  </si>
  <si>
    <t>04 - Game Development Roadmaps</t>
  </si>
  <si>
    <t>D:\Sao lưu\Udemy\Khóa học\05 - Phát triển game\04 - Game Development Roadmaps\game-developer-roadmap</t>
  </si>
  <si>
    <t>00 - Roadmap.sh Game Developer Official</t>
  </si>
  <si>
    <t>THEO DÕI KHÓA HỌC — server-side-game-developer-roadmap</t>
  </si>
  <si>
    <t>C57</t>
  </si>
  <si>
    <t>D:\Sao lưu\Udemy\Khóa học\05 - Phát triển game\04 - Game Development Roadmaps\server-side-game-developer-roadmap</t>
  </si>
  <si>
    <t>00 - Roadmap.sh Server-Side Game Developer Official</t>
  </si>
  <si>
    <t>THEO DÕI KHÓA HỌC — Pixel Art Master Course - Beginner to Professional/Freelance</t>
  </si>
  <si>
    <t>C58</t>
  </si>
  <si>
    <t>05 - Game Art</t>
  </si>
  <si>
    <t>D:\Sao lưu\Udemy\Khóa học\05 - Phát triển game\05 - Game Art\pixel-art-master-course-beginner-to-professional-freelance</t>
  </si>
  <si>
    <t>02 - Lines and Shapes `[B]`</t>
  </si>
  <si>
    <t>03 - Shading and Lighting `[B]`</t>
  </si>
  <si>
    <t>04 - Colours and Textures `[B]`</t>
  </si>
  <si>
    <t>05 - Drawing Simple Objects `[B]`</t>
  </si>
  <si>
    <t>06 - Tiles `[B]`</t>
  </si>
  <si>
    <t>07 - Backgrounds `[B]`</t>
  </si>
  <si>
    <t>08 - Basic Characters `[B]`</t>
  </si>
  <si>
    <t>09 - Simple Animation `[B]`</t>
  </si>
  <si>
    <t>10 - Platformer View `[I]`</t>
  </si>
  <si>
    <t>11 - Top Down View `[I]`</t>
  </si>
  <si>
    <t>12 - RPG View `[I]`</t>
  </si>
  <si>
    <t>13 - Isometric View `[I]`</t>
  </si>
  <si>
    <t>14 - Intermediate Shading `[I]`</t>
  </si>
  <si>
    <t>15 - Materials `[I]`</t>
  </si>
  <si>
    <t>16 - Checkpoint Before Advanced Lessons</t>
  </si>
  <si>
    <t>17 - 12 Principles of Animation</t>
  </si>
  <si>
    <t>18 - VFX Animation `[A]`</t>
  </si>
  <si>
    <t>19 - Highly Detailed Pixel Art `[A]`</t>
  </si>
  <si>
    <t>20 - Freelancing `[A]`</t>
  </si>
  <si>
    <t>THEO DÕI KHÓA HỌC — The English Master Course: English Grammar, English Speaking</t>
  </si>
  <si>
    <t>C59</t>
  </si>
  <si>
    <t>06 - Ngôn ngữ</t>
  </si>
  <si>
    <t>01 - Tiếng Anh</t>
  </si>
  <si>
    <t>D:\Sao lưu\Udemy\Khóa học\06 - Ngôn ngữ\01 - Tiếng Anh\the-english-master-course-english-grammar-speaking</t>
  </si>
  <si>
    <t>001 - How English Works - A Quick Review</t>
  </si>
  <si>
    <t>002 - English Grammar</t>
  </si>
  <si>
    <t>003 - English Writing</t>
  </si>
  <si>
    <t>004 - English Speaking</t>
  </si>
  <si>
    <t>005 - Pronunciation and Accent</t>
  </si>
  <si>
    <t>006 - IELTS Upgrade and Practice</t>
  </si>
  <si>
    <t>THEO DÕI KHÓA HỌC — Tự học 2.000 từ vựng tiếng Anh</t>
  </si>
  <si>
    <t>C60</t>
  </si>
  <si>
    <t>D:\Sao lưu\Udemy\Khóa học\06 - Ngôn ngữ\01 - Tiếng Anh\tu-hoc-2000-tu-vung-tieng-anh</t>
  </si>
  <si>
    <t>Module 01 - People and Body</t>
  </si>
  <si>
    <t>Module 02 - Family and Daily Life</t>
  </si>
  <si>
    <t>Module 03 - Home and Food</t>
  </si>
  <si>
    <t>Module 04 - Animals and Nature</t>
  </si>
  <si>
    <t>Module 05 - Hobbies and Travel</t>
  </si>
  <si>
    <t>Module 06 - Work and World</t>
  </si>
  <si>
    <t>THEO DÕI KHÓA HỌC — Từ vựng tiếng Anh cơ bản</t>
  </si>
  <si>
    <t>C61</t>
  </si>
  <si>
    <t>D:\Sao lưu\Udemy\Khóa học\06 - Ngôn ngữ\01 - Tiếng Anh\tu-vung-tieng-anh-co-ban</t>
  </si>
  <si>
    <t>lessons</t>
  </si>
  <si>
    <t>THEO DÕI KHÓA HỌC — Khóa học Tiếng Trung — Giáo trình Hán Ngữ Quyển 1–6</t>
  </si>
  <si>
    <t>C62</t>
  </si>
  <si>
    <t>02 - Tiếng Trung</t>
  </si>
  <si>
    <t>D:\Sao lưu\Udemy\Khóa học\06 - Ngôn ngữ\02 - Tiếng Trung\khoa-hoc-tieng-trung</t>
  </si>
  <si>
    <t>module-01-quyen-1</t>
  </si>
  <si>
    <t>module-02-quyen-2</t>
  </si>
  <si>
    <t>module-03-quyen-3</t>
  </si>
  <si>
    <t>module-04-quyen-4</t>
  </si>
  <si>
    <t>module-05-quyen-5</t>
  </si>
  <si>
    <t>module-06-quyen-6</t>
  </si>
  <si>
    <t>THEO DÕI KHÓA HỌC — Mandarin Mastery Path — Tiếng Trung từ Nền tảng đến HSK 3</t>
  </si>
  <si>
    <t>C63</t>
  </si>
  <si>
    <t>D:\Sao lưu\Udemy\Khóa học\06 - Ngôn ngữ\02 - Tiếng Trung\mandarin-mastery-path</t>
  </si>
  <si>
    <t>module-01-khoi-dong-hanh-trinh</t>
  </si>
  <si>
    <t>module-02-nen-tang-phat-am-chu-han</t>
  </si>
  <si>
    <t>module-03-hsk1-01-nhung-cau-dau-tien</t>
  </si>
  <si>
    <t>module-04-hsk1-02-lam-quen-va-gioi-thieu-ban-than</t>
  </si>
  <si>
    <t>module-05-hsk1-03-gioi-thieu-nguoi-xung-quanh</t>
  </si>
  <si>
    <t>module-06-hsk1-04-con-so-gia-dinh-tuoi-tac</t>
  </si>
  <si>
    <t>module-07-hsk1-05-kha-nang-va-mieu-ta</t>
  </si>
  <si>
    <t>module-08-hsk1-06-ngay-thang-va-di-chuyen</t>
  </si>
  <si>
    <t>module-09-hsk1-07-mong-muon-so-luong-tien-bac</t>
  </si>
  <si>
    <t>module-10-hsk1-08-dia-diem-va-nghe-nghiep</t>
  </si>
  <si>
    <t>module-11-hsk1-09-su-ton-tai-va-loi-de-nghi</t>
  </si>
  <si>
    <t>module-12-hsk1-10-gio-giac-va-lich-sinh-hoat</t>
  </si>
  <si>
    <t>module-13-hsk1-11-thoi-tiet-va-ke-hoach</t>
  </si>
  <si>
    <t>module-14-hsk1-12-hanh-dong-dang-dien-ra</t>
  </si>
  <si>
    <t>module-15-hsk1-13-ke-lai-viec-da-xay-ra</t>
  </si>
  <si>
    <t>module-16-hsk1-14-phuong-tien-va-thoi-diem</t>
  </si>
  <si>
    <t>module-17-tong-on-va-danh-gia-hsk1</t>
  </si>
  <si>
    <t>module-18-buoc-vao-hsk2</t>
  </si>
  <si>
    <t>module-19-hsk2-01-ke-hoach-va-so-thich</t>
  </si>
  <si>
    <t>module-20-hsk2-02-suc-khoe-va-thong-tin-ca-nhan</t>
  </si>
  <si>
    <t>module-21-hsk2-03-mua-sam-va-phuong-huong</t>
  </si>
  <si>
    <t>module-22-hsk2-04-sinh-nhat-va-khoang-thoi-gian</t>
  </si>
  <si>
    <t>module-23-hsk2-05-lua-chon-va-thoa-thuan</t>
  </si>
  <si>
    <t>module-24-hsk2-06-sinh-hoat-va-nguyen-nhan</t>
  </si>
  <si>
    <t>module-25-hsk2-07-khoang-cach-va-thoi-gian</t>
  </si>
  <si>
    <t>module-26-hsk2-08-yeu-cau-va-mong-muon</t>
  </si>
  <si>
    <t>module-27-hsk2-09-ket-qua-va-thu-tu</t>
  </si>
  <si>
    <t>module-28-hsk2-10-suc-khoe-va-thoi-quen</t>
  </si>
  <si>
    <t>module-29-hsk2-11-mieu-ta-va-so-sanh</t>
  </si>
  <si>
    <t>module-30-hsk2-12-mieu-ta-muc-do-voi-de</t>
  </si>
  <si>
    <t>module-31-hsk2-13-trang-thai-va-phuong-huong</t>
  </si>
  <si>
    <t>module-32-hsk2-14-noi-ve-trai-nghiem</t>
  </si>
  <si>
    <t>module-33-hsk2-15-su-viec-sap-xay-ra</t>
  </si>
  <si>
    <t>module-34-tong-ket-hsk2</t>
  </si>
  <si>
    <t>module-35-hsk3-01-phat-am-nang-cao-va-lap-ke-hoach</t>
  </si>
  <si>
    <t>module-36-hsk3-02-phuong-huong-va-trinh-tu</t>
  </si>
  <si>
    <t>module-37-hsk3-03-lua-chon-va-su-ton-tai</t>
  </si>
  <si>
    <t>module-38-hsk3-04-hai-dac-diem-hai-hanh-dong</t>
  </si>
  <si>
    <t>module-39-hsk3-05-suc-khoe-va-su-thay-doi</t>
  </si>
  <si>
    <t>module-40-hsk3-06-kha-nang-dat-duoc-ket-qua</t>
  </si>
  <si>
    <t>module-41-hsk3-07-khoang-thoi-gian-va-ly-do</t>
  </si>
  <si>
    <t>module-42-hsk3-08-lap-lai-va-lua-chon-tu-do</t>
  </si>
  <si>
    <t>module-43-hsk3-09-so-sanh-tuong-dong-va-tang-tien</t>
  </si>
  <si>
    <t>module-44-hsk3-10-so-sanh-nang-cao</t>
  </si>
  <si>
    <t>module-45-hsk3-11-lam-chu-cau-ba</t>
  </si>
  <si>
    <t>module-46-hsk3-12-cai-jiu-va-cau-ba-nang-cao</t>
  </si>
  <si>
    <t>module-47-hsk3-13-ket-qua-va-hanh-dong-dong-thoi</t>
  </si>
  <si>
    <t>module-48-hsk3-14-so-sanh-hinh-anh-va-xu-ly-do-vat</t>
  </si>
  <si>
    <t>module-49-hsk3-15-ngoai-le-va-pham-vi</t>
  </si>
  <si>
    <t>module-50-hsk3-16-muc-do-va-dieu-kien</t>
  </si>
  <si>
    <t>module-51-hsk3-17-quy-dinh-va-loi-khuyen</t>
  </si>
  <si>
    <t>module-52-hsk3-18-vay-muon-va-hoi-thong-tin</t>
  </si>
  <si>
    <t>module-53-hsk3-19-thay-doi-va-phan-ung</t>
  </si>
  <si>
    <t>module-54-hsk3-20-cau-bi-dong-va-dieu-kien-can</t>
  </si>
  <si>
    <t>module-55-tong-on-va-danh-gia-hsk3</t>
  </si>
  <si>
    <t>module-56-hoan-thanh-hanh-trinh-hsk</t>
  </si>
  <si>
    <t>THEO DÕI KHÓA HỌC — Learn Japanese for Beginners — Khóa học Markdown</t>
  </si>
  <si>
    <t>C64</t>
  </si>
  <si>
    <t>03 - Tiếng Nhật</t>
  </si>
  <si>
    <t>D:\Sao lưu\Udemy\Khóa học\06 - Ngôn ngữ\03 - Tiếng Nhật\learn-japanese-for-beginners-course</t>
  </si>
  <si>
    <t>01 - Introduction to Japanese</t>
  </si>
  <si>
    <t>02 - Hiragana</t>
  </si>
  <si>
    <t>03 - Katakana</t>
  </si>
  <si>
    <t>04 - Pronunciation Basics</t>
  </si>
  <si>
    <t>05 - Pronunciation Sound Changes and Pitch</t>
  </si>
  <si>
    <t>06 - Self-Introduction, Greetings, and Manners</t>
  </si>
  <si>
    <t>07 - Numbers and Counters</t>
  </si>
  <si>
    <t>08 - Time, Dates, and Sentence Patterns</t>
  </si>
  <si>
    <t>09 - Useful Everyday Questions</t>
  </si>
  <si>
    <t>10 - Listening - Everyday Places and Services</t>
  </si>
  <si>
    <t>11 - Listening - Daily Life and Plans</t>
  </si>
  <si>
    <t>12 - Listening - Personal Topics and Shopping</t>
  </si>
  <si>
    <t>13 - Listening - Shopping, Work, and Directions</t>
  </si>
  <si>
    <t>14 - Listening - Schedules, Food, and Appointments</t>
  </si>
  <si>
    <t>15 - Listening - Home, Time, and Travel</t>
  </si>
  <si>
    <t>THEO DÕI KHÓA HỌC — Complete French Course — Khóa học Markdown</t>
  </si>
  <si>
    <t>C65</t>
  </si>
  <si>
    <t>04 - Tiếng Pháp</t>
  </si>
  <si>
    <t>D:\Sao lưu\Udemy\Khóa học\06 - Ngôn ngữ\04 - Tiếng Pháp\complete-french-course</t>
  </si>
  <si>
    <t>01 - Beginner Course Chapter 1</t>
  </si>
  <si>
    <t>02 - Beginner Course Chapter 2</t>
  </si>
  <si>
    <t>03 - Beginner Course Chapter 3</t>
  </si>
  <si>
    <t>04 - Intermediate Course Chapter 1</t>
  </si>
  <si>
    <t>05 - 500 Most Useful French Words</t>
  </si>
  <si>
    <t>06 - 500 Most Useful French Phrases</t>
  </si>
  <si>
    <t>07 - Bonus Learn French with Music</t>
  </si>
  <si>
    <t>THEO DÕI KHÓA HỌC — Tiếng Đức giao tiếp từ A1 đến B1</t>
  </si>
  <si>
    <t>C66</t>
  </si>
  <si>
    <t>05 - Tiếng Đức</t>
  </si>
  <si>
    <t>D:\Sao lưu\Udemy\Khóa học\06 - Ngôn ngữ\05 - Tiếng Đức\complete-german-course-speaking</t>
  </si>
  <si>
    <t>Introduction</t>
  </si>
  <si>
    <t>A1 Unit 1 - Getting started</t>
  </si>
  <si>
    <t>A1 Unit 2 - Introducing yourself</t>
  </si>
  <si>
    <t>A1 Unit 3 - Talking about family and friends</t>
  </si>
  <si>
    <t>A1 Unit 4 - Talking about home</t>
  </si>
  <si>
    <t>A1 Unit 5 - Talking about routines</t>
  </si>
  <si>
    <t>A1 Unit 6 - Talking about work</t>
  </si>
  <si>
    <t>A1 Unit 7 - Talking about likes &amp; dislikes</t>
  </si>
  <si>
    <t>A1 Unit 8 - Talking about free time activities</t>
  </si>
  <si>
    <t>A1 Unit 9 - Talking about your town or village</t>
  </si>
  <si>
    <t>A1 Unit 10 - Talking about the weather</t>
  </si>
  <si>
    <t>A1 Unit 11 - Talking about transport</t>
  </si>
  <si>
    <t>A1 Unit 12 - At the tourist office</t>
  </si>
  <si>
    <t>A1 Unit 13 - Talking about food and drink</t>
  </si>
  <si>
    <t>A1 Unit 14 - Going shopping</t>
  </si>
  <si>
    <t>A1 Unit 15 - Using services in town</t>
  </si>
  <si>
    <t>A1 Unit 16 - Talking about holidays</t>
  </si>
  <si>
    <t>A2 Unit 1 - Talking about yourself</t>
  </si>
  <si>
    <t>A2 Unit 2 - Talking about family and friends</t>
  </si>
  <si>
    <t>A2 Unit 3 - Talking about your health</t>
  </si>
  <si>
    <t>A2 Unit 4 - Talking about where you live</t>
  </si>
  <si>
    <t>A2 Unit 5 - Talking about the environment</t>
  </si>
  <si>
    <t>A2 Unit 6 - Talking about holidays (usually)</t>
  </si>
  <si>
    <t>A2 Unit 7 - Talking about holidays (past)</t>
  </si>
  <si>
    <t>A2 Unit 8 - Talking about holidays (future)</t>
  </si>
  <si>
    <t>A2 Unit 9 - Talking about food and drink</t>
  </si>
  <si>
    <t>A2 Unit 10 - Talking about shopping</t>
  </si>
  <si>
    <t>A2 Unit 11 - Using services</t>
  </si>
  <si>
    <t>A2 Unit 12 - At the tourist office</t>
  </si>
  <si>
    <t>A2 Unit 13 - Talking about education</t>
  </si>
  <si>
    <t>A2 Unit 14 - Talking about work and future plans</t>
  </si>
  <si>
    <t>A2 Unit 15 - Talking about free time</t>
  </si>
  <si>
    <t>A2 Unit 16 - Talking about going out</t>
  </si>
  <si>
    <t>B1 Unit 1 - Talking about nature and the environment</t>
  </si>
  <si>
    <t>B1 Unit 2 - Talking about education</t>
  </si>
  <si>
    <t>B1 Unit 3 - Talking about the world of work</t>
  </si>
  <si>
    <t>B1 Unit 4 - Talking about music</t>
  </si>
  <si>
    <t>B1 Unit 5 - Talking about the media</t>
  </si>
  <si>
    <t>B1 Unit 6 - Talking about festivals and traditions</t>
  </si>
  <si>
    <t>Mục tiêu A1–B1 và cách học theo tình huống</t>
  </si>
  <si>
    <t>Bốn trụ cột: giao tiếp, từ vựng, ngữ pháp và phát âm</t>
  </si>
  <si>
    <t>Cách dùng transcript tự tạo, flashcard, shadowing và nhật ký lỗi</t>
  </si>
  <si>
    <t>Bài kiểm tra đầu vào: nghe, nói và phát âm</t>
  </si>
  <si>
    <t>Nhiệm vụ mở đầu: giới thiệu bản thân trong 60 giây</t>
  </si>
  <si>
    <t>Chào hỏi và tạm biệt: *Hallo, Guten Tag, Auf Wiedersehen*</t>
  </si>
  <si>
    <t>Động từ *sein* và câu giới thiệu cơ bản</t>
  </si>
  <si>
    <t>Bảng chữ cái và đánh vần tên</t>
  </si>
  <si>
    <t>Hỏi thăm sức khỏe và phản hồi lịch sự</t>
  </si>
  <si>
    <t>Số đếm 0–20 và số điện thoại</t>
  </si>
  <si>
    <t>Số đếm đến 100, ngày và tháng</t>
  </si>
  <si>
    <t>Nguyên âm Đức và quy tắc giống danh từ *der, die, das*</t>
  </si>
  <si>
    <t>Speaking drill và bài review Unit 1</t>
  </si>
  <si>
    <t>Nói tên, họ và cách xưng hô *du/Sie*</t>
  </si>
  <si>
    <t>Động từ có quy tắc ở thì hiện tại</t>
  </si>
  <si>
    <t>Hỏi và nói tuổi</t>
  </si>
  <si>
    <t>Điền thông tin cá nhân và tình trạng gia đình</t>
  </si>
  <si>
    <t>Hỏi, đọc và nói số điện thoại</t>
  </si>
  <si>
    <t>Từ để hỏi: *was, wer, wie, wo*</t>
  </si>
  <si>
    <t>Nói nơi ở, quê quán, quốc tịch và ngôn ngữ</t>
  </si>
  <si>
    <t>Nói ngày/nơi sinh và hội thoại tổng hợp</t>
  </si>
  <si>
    <t>Từ vựng gia đình và họ hàng</t>
  </si>
  <si>
    <t>Sở hữu cách: *mein, dein, sein, ihr*</t>
  </si>
  <si>
    <t>Hỏi tuổi và tên người thân</t>
  </si>
  <si>
    <t>Sinh nhật và lời chúc</t>
  </si>
  <si>
    <t>Động từ *haben* và nói về vật nuôi</t>
  </si>
  <si>
    <t>Số nhiều danh từ và các mẫu thường gặp</t>
  </si>
  <si>
    <t>Nominativ, Akkusativ và mạo từ</t>
  </si>
  <si>
    <t>Mô tả ngoại hình, màu sắc và tính cách</t>
  </si>
  <si>
    <t>Speaking drill và bài review Unit 3</t>
  </si>
  <si>
    <t>Nói mình sống ở đâu và mô tả căn hộ</t>
  </si>
  <si>
    <t>Các phòng trong nhà</t>
  </si>
  <si>
    <t>Đếm số phòng và mô tả diện tích</t>
  </si>
  <si>
    <t>Nói về căn phòng yêu thích</t>
  </si>
  <si>
    <t>Đồ nội thất phòng khách, phòng ăn, phòng ngủ và phòng tắm</t>
  </si>
  <si>
    <t>Đồ dùng trong bếp</t>
  </si>
  <si>
    <t>Dativ và giới từ chỉ vị trí</t>
  </si>
  <si>
    <t>Hội thoại mô tả nhà và bài review</t>
  </si>
  <si>
    <t>Hỏi và nói giờ: hệ 12 giờ và 24 giờ</t>
  </si>
  <si>
    <t>Cách diễn đạt *nach, vor, halb* trong giờ giấc</t>
  </si>
  <si>
    <t>Từ vựng buổi sáng và thói quen cá nhân</t>
  </si>
  <si>
    <t>Lịch trình buổi trưa và buổi chiều</t>
  </si>
  <si>
    <t>Lịch trình buổi tối và giờ đi ngủ</t>
  </si>
  <si>
    <t>Trật tự từ sau cụm thời gian và động từ tách</t>
  </si>
  <si>
    <t>Role-play một ngày điển hình và bài review</t>
  </si>
  <si>
    <t>Nghề nghiệp và dạng giống đực/giống cái</t>
  </si>
  <si>
    <t>Hỏi và nói mình làm nghề gì</t>
  </si>
  <si>
    <t>Địa điểm làm việc và giới từ Dativ</t>
  </si>
  <si>
    <t>Mô tả nơi làm việc</t>
  </si>
  <si>
    <t>Mô tả một ngày làm việc</t>
  </si>
  <si>
    <t>Modal verbs: *dürfen, können, müssen*</t>
  </si>
  <si>
    <t>Điện thoại công việc và email cơ bản</t>
  </si>
  <si>
    <t>Hội thoại quyền lợi/trách nhiệm và bài review</t>
  </si>
  <si>
    <t>Nói điều thích và không thích với *mögen*</t>
  </si>
  <si>
    <t>Nói điều thích làm và không thích làm</t>
  </si>
  <si>
    <t>Tính từ nêu ý kiến tích cực/tiêu cực</t>
  </si>
  <si>
    <t>Động từ *finden* và *denken*</t>
  </si>
  <si>
    <t>Liên từ *aber, denn, und, oder, weil, obwohl*</t>
  </si>
  <si>
    <t>Nói mình thích gì và giải thích lý do</t>
  </si>
  <si>
    <t>Hobbies và địa điểm giải trí</t>
  </si>
  <si>
    <t>Các môn thể thao và động từ *machen, gehen, spielen*</t>
  </si>
  <si>
    <t>Tần suất: *oft, manchmal, selten, nie, immer*</t>
  </si>
  <si>
    <t>Nói môn thể thao yêu thích</t>
  </si>
  <si>
    <t>So sánh *lieber* và *am liebsten*</t>
  </si>
  <si>
    <t>Modal verb *wollen*</t>
  </si>
  <si>
    <t>Mời, nhận lời và từ chối lời mời</t>
  </si>
  <si>
    <t>Đại từ phản thân và sắp xếp cuộc hẹn</t>
  </si>
  <si>
    <t>Role-play cuối tuần và bài review</t>
  </si>
  <si>
    <t>Mô tả thị trấn, thành phố và làng quê</t>
  </si>
  <si>
    <t>Nói vị trí bằng *liegen* và phương hướng</t>
  </si>
  <si>
    <t>Địa điểm công cộng, trường học và nơi giải trí</t>
  </si>
  <si>
    <t>Cấu trúc *es gibt* để nói có/không có</t>
  </si>
  <si>
    <t>Nói điều tốt và điều chưa tốt về nơi mình sống</t>
  </si>
  <si>
    <t>Phát âm *ch, th, j* và nguyên âm biến âm</t>
  </si>
  <si>
    <t>Hội thoại mô tả quê hương và bài review</t>
  </si>
  <si>
    <t>Từ vựng thời tiết và các mùa</t>
  </si>
  <si>
    <t>Nói nhiệt độ, mưa, tuyết, gió và nắng</t>
  </si>
  <si>
    <t>Hỏi dự báo thời tiết và kế hoạch trong ngày</t>
  </si>
  <si>
    <t>So sánh thời tiết giữa hai địa điểm</t>
  </si>
  <si>
    <t>Nói lý do chọn trang phục/hoạt động theo thời tiết</t>
  </si>
  <si>
    <t>Bản tin thời tiết ngắn và bài review</t>
  </si>
  <si>
    <t>Từ vựng phương tiện giao thông</t>
  </si>
  <si>
    <t>Hỏi đường và chỉ hướng</t>
  </si>
  <si>
    <t>Hỏi điểm dừng, tuyến xe và thời gian</t>
  </si>
  <si>
    <t>Mua vé và hỏi giá vé</t>
  </si>
  <si>
    <t>Nói cách đi từ A đến B</t>
  </si>
  <si>
    <t>Xử lý trễ chuyến và đổi tuyến</t>
  </si>
  <si>
    <t>Role-play tại ga tàu và bài review</t>
  </si>
  <si>
    <t>Hỏi thông tin tại *Touristeninformation*</t>
  </si>
  <si>
    <t>Hỏi điểm tham quan và giờ mở cửa</t>
  </si>
  <si>
    <t>Xin bản đồ và đề nghị lịch trình</t>
  </si>
  <si>
    <t>Đặt tour, vé và chỗ tham quan</t>
  </si>
  <si>
    <t>Hỏi về thời tiết, giá cả và phương tiện</t>
  </si>
  <si>
    <t>Hội thoại du lịch hoàn chỉnh và bài review</t>
  </si>
  <si>
    <t>Bữa ăn và từ vựng thực phẩm cơ bản</t>
  </si>
  <si>
    <t>Đồ uống nóng, lạnh và cách gọi món</t>
  </si>
  <si>
    <t>Nói sở thích ăn uống</t>
  </si>
  <si>
    <t>Số lượng, đơn vị và bao bì</t>
  </si>
  <si>
    <t>Gọi món tại nhà hàng</t>
  </si>
  <si>
    <t>Hỏi thành phần, khẩu vị và dị ứng</t>
  </si>
  <si>
    <t>Thanh toán, tiền boa và phản hồi lịch sự</t>
  </si>
  <si>
    <t>Role-play nhà hàng và bài review</t>
  </si>
  <si>
    <t>Quần áo, màu sắc và kích cỡ</t>
  </si>
  <si>
    <t>Hỏi giá và hiểu số tiền</t>
  </si>
  <si>
    <t>Hỏi thử đồ và xin tư vấn</t>
  </si>
  <si>
    <t>So sánh sản phẩm và lựa chọn</t>
  </si>
  <si>
    <t>Mua hàng, thanh toán và nhận hóa đơn</t>
  </si>
  <si>
    <t>Đổi/trả hàng bằng cách nói lịch sự</t>
  </si>
  <si>
    <t>Hội thoại mua sắm và bài review</t>
  </si>
  <si>
    <t>Bưu điện và gửi bưu phẩm</t>
  </si>
  <si>
    <t>Ngân hàng, tiền mặt và thẻ</t>
  </si>
  <si>
    <t>Hiệu thuốc và nhu cầu cơ bản</t>
  </si>
  <si>
    <t>Đặt lịch tại salon hoặc cơ sở dịch vụ</t>
  </si>
  <si>
    <t>Hỏi biểu mẫu, giấy tờ và quy trình</t>
  </si>
  <si>
    <t>Gọi điện hỏi giờ làm việc</t>
  </si>
  <si>
    <t>Role-play sử dụng dịch vụ và bài review</t>
  </si>
  <si>
    <t>Điểm đến, hành lý và kế hoạch chuyến đi</t>
  </si>
  <si>
    <t>Đặt phòng khách sạn</t>
  </si>
  <si>
    <t>Nhận/trả phòng và hỏi tiện nghi</t>
  </si>
  <si>
    <t>Nói hoạt động trong kỳ nghỉ</t>
  </si>
  <si>
    <t>Hỏi đường đến điểm tham quan</t>
  </si>
  <si>
    <t>Xử lý vấn đề đơn giản khi đi du lịch</t>
  </si>
  <si>
    <t>Viết lịch trình nghỉ phép ngắn</t>
  </si>
  <si>
    <t>Dự án A1: hội thoại một chuyến đi</t>
  </si>
  <si>
    <t>Mô tả tính cách, điểm mạnh và điểm cần cải thiện</t>
  </si>
  <si>
    <t>Nói về kinh nghiệm học tập và công việc</t>
  </si>
  <si>
    <t>Kể một ngày đặc biệt ở quá khứ</t>
  </si>
  <si>
    <t>Trình bày mục tiêu cá nhân</t>
  </si>
  <si>
    <t>So sánh thói quen trước đây và hiện tại</t>
  </si>
  <si>
    <t>Bài nói hồ sơ cá nhân ở trình độ A2</t>
  </si>
  <si>
    <t>Mô tả quan hệ gia đình và bạn bè</t>
  </si>
  <si>
    <t>Sự kiện gia đình và các giai đoạn cuộc đời</t>
  </si>
  <si>
    <t>Mời, xác nhận và thay đổi kế hoạch</t>
  </si>
  <si>
    <t>Nêu lý do đồng ý hoặc không đồng ý</t>
  </si>
  <si>
    <t>Mệnh đề quan hệ cơ bản</t>
  </si>
  <si>
    <t>Hội thoại về một mối quan hệ quan trọng</t>
  </si>
  <si>
    <t>Bộ phận cơ thể và triệu chứng thường gặp</t>
  </si>
  <si>
    <t>Mô tả cơn đau và thời gian bị bệnh</t>
  </si>
  <si>
    <t>Đặt lịch với bác sĩ</t>
  </si>
  <si>
    <t>Khám bệnh và hiểu hướng dẫn</t>
  </si>
  <si>
    <t>Đưa lời khuyên với *sollte* và mệnh lệnh lịch sự</t>
  </si>
  <si>
    <t>Thuốc, nghỉ ngơi và lịch dùng thuốc</t>
  </si>
  <si>
    <t>Role-play tại phòng khám và bài review</t>
  </si>
  <si>
    <t>Tìm nhà và đọc tin cho thuê</t>
  </si>
  <si>
    <t>Mô tả khu phố và tiện ích xung quanh</t>
  </si>
  <si>
    <t>Chuyển nhà và sắp xếp đồ đạc</t>
  </si>
  <si>
    <t>Nêu ưu/nhược điểm của nơi ở</t>
  </si>
  <si>
    <t>Giới từ hai chiều và vị trí/chuyển động</t>
  </si>
  <si>
    <t>Viết tin nhắn hỏi thuê nhà</t>
  </si>
  <si>
    <t>Thiên nhiên, khí hậu và ô nhiễm</t>
  </si>
  <si>
    <t>Phân loại rác và tiêu dùng bền vững</t>
  </si>
  <si>
    <t>Nói về tiết kiệm điện, nước và giao thông</t>
  </si>
  <si>
    <t>Giải thích nguyên nhân và kết quả</t>
  </si>
  <si>
    <t>Đề xuất giải pháp với *man sollte* và *wir könnten*</t>
  </si>
  <si>
    <t>Thuyết trình ngắn về một vấn đề môi trường</t>
  </si>
  <si>
    <t>Thói quen đi nghỉ hằng năm</t>
  </si>
  <si>
    <t>Chọn điểm đến theo sở thích</t>
  </si>
  <si>
    <t>Thời tiết, mùa và ngân sách</t>
  </si>
  <si>
    <t>Nói về hoạt động thường làm trong kỳ nghỉ</t>
  </si>
  <si>
    <t>Lập kế hoạch chuyến đi theo nhóm</t>
  </si>
  <si>
    <t>Hội thoại tư vấn và bài review</t>
  </si>
  <si>
    <t>Perfekt với *haben* và *sein*</t>
  </si>
  <si>
    <t>Partizip II của động từ thường gặp</t>
  </si>
  <si>
    <t>Kể trình tự một chuyến đi</t>
  </si>
  <si>
    <t>Phân biệt *war, hatte* và Perfekt</t>
  </si>
  <si>
    <t>Mô tả sự cố khi đi du lịch</t>
  </si>
  <si>
    <t>Viết nhật ký chuyến đi</t>
  </si>
  <si>
    <t>Bài kể chuyện A2 về một kỳ nghỉ đáng nhớ</t>
  </si>
  <si>
    <t>Dự định và kế hoạch với *werden* và cấu trúc hiện tại</t>
  </si>
  <si>
    <t>Đặt chỗ và xác nhận dịch vụ</t>
  </si>
  <si>
    <t>Dự đoán, khả năng và điều kiện</t>
  </si>
  <si>
    <t>So sánh các phương án chuyến đi</t>
  </si>
  <si>
    <t>Trình bày lịch trình tương lai</t>
  </si>
  <si>
    <t>Role-play lập kế hoạch kỳ nghỉ</t>
  </si>
  <si>
    <t>Công thức nấu ăn và động từ nhà bếp</t>
  </si>
  <si>
    <t>Thành phần, khẩu phần và định lượng</t>
  </si>
  <si>
    <t>Chế độ ăn và lựa chọn lành mạnh</t>
  </si>
  <si>
    <t>Đặt bàn và gọi món theo nhu cầu</t>
  </si>
  <si>
    <t>Phàn nàn lịch sự về món ăn</t>
  </si>
  <si>
    <t>Viết công thức món ăn đơn giản</t>
  </si>
  <si>
    <t>Role-play nhà hàng trình độ A2</t>
  </si>
  <si>
    <t>So sánh chất lượng, giá và bảo hành</t>
  </si>
  <si>
    <t>Mua sắm trực tuyến và giao hàng</t>
  </si>
  <si>
    <t>Đổi hàng, hoàn tiền và khiếu nại</t>
  </si>
  <si>
    <t>Đánh giá sản phẩm bằng lý do cụ thể</t>
  </si>
  <si>
    <t>Viết email cho bộ phận chăm sóc khách hàng</t>
  </si>
  <si>
    <t>Hội thoại xử lý một đơn hàng có vấn đề</t>
  </si>
  <si>
    <t>Đặt và thay đổi lịch hẹn</t>
  </si>
  <si>
    <t>Điền biểu mẫu và cung cấp thông tin</t>
  </si>
  <si>
    <t>Gọi điện tới cơ quan hoặc doanh nghiệp</t>
  </si>
  <si>
    <t>Yêu cầu giải thích quy trình</t>
  </si>
  <si>
    <t>Nêu vấn đề và đề nghị phương án xử lý</t>
  </si>
  <si>
    <t>Mô phỏng một ngày giải quyết thủ tục</t>
  </si>
  <si>
    <t>Tư vấn tuyến đi và điểm tham quan</t>
  </si>
  <si>
    <t>Hỏi thông tin chi tiết về vé và tour</t>
  </si>
  <si>
    <t>Đặt lịch trình nhiều chặng</t>
  </si>
  <si>
    <t>Xử lý hủy tour hoặc thay đổi thời gian</t>
  </si>
  <si>
    <t>Viết email hỏi thông tin du lịch</t>
  </si>
  <si>
    <t>Dự án: thiết kế và giới thiệu một chuyến đi</t>
  </si>
  <si>
    <t>Trường học, khóa học và môn học</t>
  </si>
  <si>
    <t>Mô tả cách học hiệu quả</t>
  </si>
  <si>
    <t>Nói về kinh nghiệm học tập</t>
  </si>
  <si>
    <t>Nêu ý kiến về bài tập và kỳ thi</t>
  </si>
  <si>
    <t>Đưa lời khuyên cho người học mới</t>
  </si>
  <si>
    <t>Thảo luận ngắn về học trực tuyến</t>
  </si>
  <si>
    <t>CV, kỹ năng và kinh nghiệm</t>
  </si>
  <si>
    <t>Tìm việc và đọc tin tuyển dụng</t>
  </si>
  <si>
    <t>Giới thiệu bản thân trong phỏng vấn</t>
  </si>
  <si>
    <t>Nói về kế hoạch nghề nghiệp</t>
  </si>
  <si>
    <t>Câu phụ với *dass, weil, wenn*</t>
  </si>
  <si>
    <t>Email xin thông tin hoặc xin việc</t>
  </si>
  <si>
    <t>Mô phỏng phỏng vấn A2</t>
  </si>
  <si>
    <t>Sở thích chuyên sâu và hoạt động nhóm</t>
  </si>
  <si>
    <t>Câu lạc bộ, hội nhóm và sự kiện</t>
  </si>
  <si>
    <t>Nói về phim, sách và nội dung yêu thích</t>
  </si>
  <si>
    <t>So sánh lựa chọn giải trí</t>
  </si>
  <si>
    <t>Tổ chức hoạt động cuối tuần</t>
  </si>
  <si>
    <t>Bài nói nêu ý kiến và đề xuất</t>
  </si>
  <si>
    <t>Rạp chiếu phim, nhà hát và buổi hòa nhạc</t>
  </si>
  <si>
    <t>Mời, xác nhận và đổi lịch hẹn</t>
  </si>
  <si>
    <t>Hỏi đánh giá sau một sự kiện</t>
  </si>
  <si>
    <t>Kể lại buổi đi chơi bằng Perfekt</t>
  </si>
  <si>
    <t>Thảo luận kế hoạch theo nhóm</t>
  </si>
  <si>
    <t>Viết tin nhắn hẹn gặp tự nhiên</t>
  </si>
  <si>
    <t>Dự án A2: lên kế hoạch và thực hiện một buổi đi chơi</t>
  </si>
  <si>
    <t>Mô tả hệ sinh thái và hiện tượng tự nhiên</t>
  </si>
  <si>
    <t>Biến đổi khí hậu và tác động đến đời sống</t>
  </si>
  <si>
    <t>Trình bày số liệu đơn giản</t>
  </si>
  <si>
    <t>Nêu quan điểm và phản biện lịch sự</t>
  </si>
  <si>
    <t>Đề xuất giải pháp ở cấp cá nhân/cộng đồng</t>
  </si>
  <si>
    <t>Viết bài nêu vấn đề–giải pháp</t>
  </si>
  <si>
    <t>Thuyết trình B1 về môi trường</t>
  </si>
  <si>
    <t>Hệ thống giáo dục và lựa chọn nghề nghiệp</t>
  </si>
  <si>
    <t>Học suốt đời và đào tạo lại</t>
  </si>
  <si>
    <t>So sánh phương pháp học</t>
  </si>
  <si>
    <t>Thảo luận ưu/nhược điểm</t>
  </si>
  <si>
    <t>Viết email trang trọng cho trường học</t>
  </si>
  <si>
    <t>Trình bày quan điểm trong một cuộc thảo luận</t>
  </si>
  <si>
    <t>Môi trường làm việc và văn hóa công sở</t>
  </si>
  <si>
    <t>Mô tả nhiệm vụ, trách nhiệm và thành tích</t>
  </si>
  <si>
    <t>CV, thư xin việc và phỏng vấn B1</t>
  </si>
  <si>
    <t>Họp nhóm, phân công và theo dõi tiến độ</t>
  </si>
  <si>
    <t>Đàm phán lịch làm việc và ưu tiên</t>
  </si>
  <si>
    <t>Viết email công việc rõ ràng</t>
  </si>
  <si>
    <t>Role-play phỏng vấn và cuộc họp</t>
  </si>
  <si>
    <t>Thể loại, nhạc cụ và trải nghiệm nghe nhạc</t>
  </si>
  <si>
    <t>Mô tả nghệ sĩ và hành trình sự nghiệp</t>
  </si>
  <si>
    <t>Nêu cảm nhận và đánh giá một bài hát</t>
  </si>
  <si>
    <t>So sánh gu âm nhạc giữa các thế hệ</t>
  </si>
  <si>
    <t>Lập kế hoạch đi xem biểu diễn</t>
  </si>
  <si>
    <t>Bài nói đánh giá một album hoặc buổi diễn</t>
  </si>
  <si>
    <t>Tin tức, nguồn tin và tiêu đề</t>
  </si>
  <si>
    <t>Mạng xã hội và thói quen tiếp nhận thông tin</t>
  </si>
  <si>
    <t>Phân biệt sự kiện, ý kiến và quảng cáo</t>
  </si>
  <si>
    <t>Tóm tắt một bài tin ngắn</t>
  </si>
  <si>
    <t>Nói về tin giả và kiểm chứng nguồn</t>
  </si>
  <si>
    <t>Viết bình luận có lập luận</t>
  </si>
  <si>
    <t>Thuyết trình về tác động của truyền thông</t>
  </si>
  <si>
    <t>Từ vựng lễ hội và phong tục</t>
  </si>
  <si>
    <t>Mô tả một truyền thống gia đình</t>
  </si>
  <si>
    <t>So sánh lễ hội ở các nền văn hóa</t>
  </si>
  <si>
    <t>Kể chuyện quá khứ bằng nhiều thì</t>
  </si>
  <si>
    <t>Giải thích ý nghĩa của một nghi lễ</t>
  </si>
  <si>
    <t>Viết lời mời hoặc thông báo sự kiện</t>
  </si>
  <si>
    <t>Trình bày và trả lời câu hỏi về văn hóa</t>
  </si>
  <si>
    <t>Dự án cuối khóa: giới thiệu một lễ hội bằng tiếng Đức</t>
  </si>
  <si>
    <t>Mục tiêu giao tiếp.</t>
  </si>
  <si>
    <t>Từ vựng cốt lõi.</t>
  </si>
  <si>
    <t>Mẫu câu và quy tắc ngữ pháp.</t>
  </si>
  <si>
    <t>Ví dụ mới trong ngữ cảnh.</t>
  </si>
  <si>
    <t>Bài nói có kiểm soát.</t>
  </si>
  <si>
    <t>Bài tập tự tạo và đáp án.</t>
  </si>
  <si>
    <t>Nghe mẫu ở tốc độ chậm.</t>
  </si>
  <si>
    <t>Lặp lại theo từng câu.</t>
  </si>
  <si>
    <t>Thay thế từ khóa.</t>
  </si>
  <si>
    <t>Trả lời không nhìn mẫu.</t>
  </si>
  <si>
    <t>Ghi âm và tự đánh giá.</t>
  </si>
  <si>
    <t>Ôn từ vựng.</t>
  </si>
  <si>
    <t>Ôn cấu trúc.</t>
  </si>
  <si>
    <t>Nghe hiểu ngắn.</t>
  </si>
  <si>
    <t>Role-play.</t>
  </si>
  <si>
    <t>Quiz và nhiệm vụ đầu ra.</t>
  </si>
  <si>
    <t>THEO DÕI KHÓA HỌC — Khóa học Tiếng Hàn toàn diện cho người mới bắt đầu</t>
  </si>
  <si>
    <t>C67</t>
  </si>
  <si>
    <t>06 - Tiếng Hàn</t>
  </si>
  <si>
    <t>D:\Sao lưu\Udemy\Khóa học\06 - Ngôn ngữ\06 - Tiếng Hàn\complete-korean-course-for-beginners</t>
  </si>
  <si>
    <t>01 - Giới thiệu</t>
  </si>
  <si>
    <t>02 - Phụ âm</t>
  </si>
  <si>
    <t>03 - Nguyên âm</t>
  </si>
  <si>
    <t>04 - Phụ âm căng, Nguyên âm đôi W và Tổ hợp CVC</t>
  </si>
  <si>
    <t>05 - Cấu trúc Câu tiếng Hàn</t>
  </si>
  <si>
    <t>06 - Các cụm từ tiếng Hàn cơ bản</t>
  </si>
  <si>
    <t>07 - Tiếng Hàn Cho Người Mới Bắt Đầu Tuyệt Đối 2</t>
  </si>
  <si>
    <t>08 - Số đếm tiếng Hàn</t>
  </si>
  <si>
    <t>09 - Thời gian &amp; Ngày tháng</t>
  </si>
  <si>
    <t>10 - Đại từ</t>
  </si>
  <si>
    <t>11 - Cấu trúc Câu - Thì Hiện tại</t>
  </si>
  <si>
    <t>12 - Động từ bất quy tắc</t>
  </si>
  <si>
    <t>13 - Luyện tập Tạo câu</t>
  </si>
  <si>
    <t>14 - Từ để hỏi trong tiếng Hàn</t>
  </si>
  <si>
    <t>15 - Xây dựng Từ vựng Tiếng Hàn 1</t>
  </si>
  <si>
    <t>16 - Gia đình</t>
  </si>
  <si>
    <t>17 - Quần áo và Phụ kiện</t>
  </si>
  <si>
    <t>18 - Màu sắc</t>
  </si>
  <si>
    <t>19 - Hoa quả &amp; Rau củ</t>
  </si>
  <si>
    <t>20 - Thịt &amp; Cá</t>
  </si>
  <si>
    <t>21 - Đồ uống &amp; Món ăn Hàn Quốc</t>
  </si>
  <si>
    <t>22 - Ngôi nhà</t>
  </si>
  <si>
    <t>23 - Con người</t>
  </si>
  <si>
    <t>24 - Trường học</t>
  </si>
  <si>
    <t>25 - Thể thao</t>
  </si>
  <si>
    <t>26 - Phương tiện giao thông</t>
  </si>
  <si>
    <t>27 - Địa điểm quanh thị trấn</t>
  </si>
  <si>
    <t>28 - Động vật</t>
  </si>
  <si>
    <t>29 - Ngữ pháp tiếng Hàn cơ bản cấp độ 1</t>
  </si>
  <si>
    <t>30 - Bài 2- Tính từ tiếng Hàn</t>
  </si>
  <si>
    <t>31 - Bài 3- Động từ tiếng Hàn &amp; thì quá khứ</t>
  </si>
  <si>
    <t>32 - Bài 4- Trợ từ cơ bản</t>
  </si>
  <si>
    <t>33 - Bài 5- Trợ từ phức tạp</t>
  </si>
  <si>
    <t>34 - Bài 6- Có thể &amp; Không thể</t>
  </si>
  <si>
    <t>35 - Hội thoại tiếng Hàn cho người mới bắt đầu</t>
  </si>
  <si>
    <t>36 - Giới thiệu</t>
  </si>
  <si>
    <t>37 - Thông tin cá nhân 1</t>
  </si>
  <si>
    <t>38 - Gặp lại nhau</t>
  </si>
  <si>
    <t>39 - Thông tin cá nhân 2</t>
  </si>
  <si>
    <t>40 - Thông tin cá nhân 3</t>
  </si>
  <si>
    <t>41 - Nói về sở thích và không thích</t>
  </si>
  <si>
    <t>42 - Nói về gia đình</t>
  </si>
  <si>
    <t>43 - Nói về ngoại hình</t>
  </si>
  <si>
    <t>44 - Nói về hoạt động cuối tuần &amp; phim yêu thích</t>
  </si>
  <si>
    <t>45 - Xây dựng Từ vựng Tiếng Hàn 2</t>
  </si>
  <si>
    <t>46 - Bài 1- Các bộ phận cơ thể</t>
  </si>
  <si>
    <t>47 - Bài 2- Sức khỏe</t>
  </si>
  <si>
    <t>48 - Bài 3- Vườn tược &amp; Sinh vật</t>
  </si>
  <si>
    <t>49 - Bài 4- Thời tiết &amp; Địa lý</t>
  </si>
  <si>
    <t>50 - Bài 5- Ô tô &amp; Hệ thống đường bộ</t>
  </si>
  <si>
    <t>51 - Bài 6- Nơi làm việc</t>
  </si>
  <si>
    <t>52 - Bài 7- Đời sống gia đình</t>
  </si>
  <si>
    <t>53 - Bài 8- TV &amp; Giải trí</t>
  </si>
  <si>
    <t>54 - Kính ngữ trong tiếng Hàn</t>
  </si>
  <si>
    <t>55 - Hệ thống cấp bậc ở Hàn Quốc</t>
  </si>
  <si>
    <t>56 - Ngôn ngữ tôn kính</t>
  </si>
  <si>
    <t>57 - Ngôn ngữ tôn kính trong ngữ cảnh</t>
  </si>
  <si>
    <t>58 - Tiếng Hàn du lịch</t>
  </si>
  <si>
    <t>59 - Sử dụng phương tiện giao thông</t>
  </si>
  <si>
    <t>60 - Tại khách sạn</t>
  </si>
  <si>
    <t>61 - Mua sắm</t>
  </si>
  <si>
    <t>62 - Nhà hàng</t>
  </si>
  <si>
    <t>63 - Tham quan</t>
  </si>
  <si>
    <t>64 - Ga tàu</t>
  </si>
  <si>
    <t>65 - Ngữ pháp tiếng Hàn thiết yếu cấp độ 2</t>
  </si>
  <si>
    <t>66 - Thì của động từ</t>
  </si>
  <si>
    <t>67 - Tiểu từ &amp; Liên từ</t>
  </si>
  <si>
    <t>68 - Cụm từ liên quan đến thời gian</t>
  </si>
  <si>
    <t>69 - Nghĩa vụ, mong muốn và trải nghiệm</t>
  </si>
  <si>
    <t>70 - Ý định &amp; Mục đích</t>
  </si>
  <si>
    <t>71 - Yêu cầu &amp; Đề nghị</t>
  </si>
  <si>
    <t>72 - Hội thoại tiếng Hàn cho Trình độ Sơ Trung cấp - Tập A</t>
  </si>
  <si>
    <t>73 - Đơn vị 2- Nói về thời tiết</t>
  </si>
  <si>
    <t>74 - Đơn vị 3- Thói quen buổi sáng &amp; tối</t>
  </si>
  <si>
    <t>75 - Đơn vị 4- Thói quen hàng ngày &amp; hàng tuần</t>
  </si>
  <si>
    <t>76 - Đơn vị 5- Sở thích &amp; Hoạt động thời gian rảnh</t>
  </si>
  <si>
    <t>77 - Đơn vị 6- Nói về tính cách</t>
  </si>
  <si>
    <t>78 - Đơn vị 7- Nói về tâm trạng và cảm xúc</t>
  </si>
  <si>
    <t>79 - Đơn vị 8- Nói về khả năng</t>
  </si>
  <si>
    <t>80 - Bài 9 Nói về hy vọng và mong muốn</t>
  </si>
  <si>
    <t>81 - Bài 10 Nói về cuối tuần</t>
  </si>
  <si>
    <t>82 - Bài 11 Sắp xếp kế hoạch</t>
  </si>
  <si>
    <t>THEO DÕI KHÓA HỌC — engineering-manager-roadmap</t>
  </si>
  <si>
    <t>C68</t>
  </si>
  <si>
    <t>07 - Kinh doanh &amp; Quản lý</t>
  </si>
  <si>
    <t>01 - Product &amp; Engineering Management</t>
  </si>
  <si>
    <t>D:\Sao lưu\Udemy\Khóa học\07 - Kinh doanh &amp; Quản lý\01 - Product &amp; Engineering Management\engineering-manager-roadmap</t>
  </si>
  <si>
    <t>00 - Roadmap.sh Engineering Manager Official</t>
  </si>
  <si>
    <t>THEO DÕI KHÓA HỌC — product-manager-roadmap</t>
  </si>
  <si>
    <t>C69</t>
  </si>
  <si>
    <t>D:\Sao lưu\Udemy\Khóa học\07 - Kinh doanh &amp; Quản lý\01 - Product &amp; Engineering Management\product-manager-roadmap</t>
  </si>
  <si>
    <t>00 - Roadmap.sh Product Manager Official</t>
  </si>
  <si>
    <t>99 - Portfolio Capstone Projects</t>
  </si>
  <si>
    <t>THEO DÕI KHÓA HỌC — devrel-roadmap</t>
  </si>
  <si>
    <t>C70</t>
  </si>
  <si>
    <t>02 - Developer Relations &amp; Technical Writing</t>
  </si>
  <si>
    <t>D:\Sao lưu\Udemy\Khóa học\07 - Kinh doanh &amp; Quản lý\02 - Developer Relations &amp; Technical Writing\devrel-roadmap</t>
  </si>
  <si>
    <t>00 - Roadmap.sh Developer Relations Official</t>
  </si>
  <si>
    <t>THEO DÕI KHÓA HỌC — technical-writer-roadmap</t>
  </si>
  <si>
    <t>C71</t>
  </si>
  <si>
    <t>D:\Sao lưu\Udemy\Khóa học\07 - Kinh doanh &amp; Quản lý\02 - Developer Relations &amp; Technical Writing\technical-writer-roadmap</t>
  </si>
  <si>
    <t>00 - Roadmap.sh Technical Writer Official</t>
  </si>
  <si>
    <t>THEO DÕI KHÓA HỌC — nutrition-masterclass-build-your-perfect-diet-meal-plan</t>
  </si>
  <si>
    <t>C72</t>
  </si>
  <si>
    <t>08 - Sức khỏe &amp; Đời sống</t>
  </si>
  <si>
    <t>01 - Dinh dưỡng</t>
  </si>
  <si>
    <t>D:\Sao lưu\Udemy\Khóa học\08 - Sức khỏe &amp; Đời sống\01 - Dinh dưỡng\nutrition-masterclass-build-your-perfect-diet-meal-plan</t>
  </si>
  <si>
    <t>02 - Meal Planning Basics</t>
  </si>
  <si>
    <t>03 - Supplements</t>
  </si>
  <si>
    <t>04 - Setting Up Your Diet</t>
  </si>
  <si>
    <t>05 - Adjusting Your Diet for Weight Loss and Muscle Gains</t>
  </si>
  <si>
    <t>06 - Healthy Dieting</t>
  </si>
  <si>
    <t>07 - Common Dieting Trends Explained</t>
  </si>
  <si>
    <t>08 - Micronutrients</t>
  </si>
  <si>
    <t>09 - More Dieting Tips and Strategies</t>
  </si>
  <si>
    <t>10 - Bonus Lessons on Muscle Growth</t>
  </si>
  <si>
    <t>THEO DÕI KHÓA HỌC — Creative Writing: How to Write a Novel - The Full Course</t>
  </si>
  <si>
    <t>C73</t>
  </si>
  <si>
    <t>09 - Viết &amp; Sáng tác</t>
  </si>
  <si>
    <t>01 - Viết tiểu thuyết</t>
  </si>
  <si>
    <t>D:\Sao lưu\Udemy\Khóa học\09 - Viết &amp; Sáng tác\01 - Viết tiểu thuyết\creative-writing-how-to-write-a-novel</t>
  </si>
  <si>
    <t>01 - The Character</t>
  </si>
  <si>
    <t>02 - The 3 Act Narrative Structure</t>
  </si>
  <si>
    <t>03 - Show, Don't Tell</t>
  </si>
  <si>
    <t>04 - Dialogue</t>
  </si>
  <si>
    <t>BẢNG THEO DÕI TIẾN ĐỘ KHÓA HỌC</t>
  </si>
  <si>
    <t>Kho khóa học: D:\Sao lưu\Udemy\Khóa học — cập nhật từ cấu trúc thư mục hiện có</t>
  </si>
  <si>
    <t>TỔNG KHÓA</t>
  </si>
  <si>
    <t>MODULE ĐÃ XONG</t>
  </si>
  <si>
    <t>TIẾN ĐỘ TOÀN KHO</t>
  </si>
  <si>
    <t>Cập nhật trực tiếp ở các sheet khóa học. Dùng bộ lọc ở bảng dưới để xem theo lĩnh vực, trạng thái hoặc tiến độ.</t>
  </si>
  <si>
    <t>DANH SÁCH KHÓA HỌC</t>
  </si>
  <si>
    <t>Mã</t>
  </si>
  <si>
    <t>AI Agent 365 Ngày</t>
  </si>
  <si>
    <t>C01 AI Agent 365 Ngày</t>
  </si>
  <si>
    <t>AI Engineer Roadmap Course</t>
  </si>
  <si>
    <t>C02 AI Engineer Roadmap Course</t>
  </si>
  <si>
    <t>LangChain - Agentic AI Engineering with LangChain &amp; LangGraph</t>
  </si>
  <si>
    <t>C03 LangChain - Agentic AI Engi</t>
  </si>
  <si>
    <t>Basic to Advanced: Retrieval-Augmented Generation — RAG</t>
  </si>
  <si>
    <t>C04 Basic to Advanced- Retrieva</t>
  </si>
  <si>
    <t>Ultimate RAG Bootcamp Using LangChain, LangGraph &amp; LangSmith</t>
  </si>
  <si>
    <t>C05 Ultimate RAG Bootcamp Using</t>
  </si>
  <si>
    <t>AI &amp; Data Scientist Roadmap Course</t>
  </si>
  <si>
    <t>C06 AI &amp; Data Scientist Roadmap</t>
  </si>
  <si>
    <t>bi-analyst-roadmap</t>
  </si>
  <si>
    <t>C07 bi-analyst-roadmap</t>
  </si>
  <si>
    <t>data-analyst-roadmap</t>
  </si>
  <si>
    <t>C08 data-analyst-roadmap</t>
  </si>
  <si>
    <t>data-engineer-roadmap</t>
  </si>
  <si>
    <t>C09 data-engineer-roadmap</t>
  </si>
  <si>
    <t>Khóa Học Tính Toán Tiến Hóa (Evolutionary Computation)</t>
  </si>
  <si>
    <t>C10 Khóa Học Tính Toán Tiến Hóa</t>
  </si>
  <si>
    <t>machine-learning-roadmap</t>
  </si>
  <si>
    <t>C11 machine-learning-roadmap</t>
  </si>
  <si>
    <t>AI Coder: Complete Claude Code &amp; Coding Agents Course</t>
  </si>
  <si>
    <t>C12 AI Coder- Complete Claude C</t>
  </si>
  <si>
    <t>claude-aiagents-cowork-masterclass</t>
  </si>
  <si>
    <t>C13 claude-aiagents-cowork-mast</t>
  </si>
  <si>
    <t>The Complete Claude Code &amp; Claude Cowork Masterclass [2026]</t>
  </si>
  <si>
    <t>C14 The Complete Claude Code &amp;</t>
  </si>
  <si>
    <t>Claude Code - The Practical Guide</t>
  </si>
  <si>
    <t>C15 Claude Code - The Practical</t>
  </si>
  <si>
    <t>khoa-hoc-vibe-coding</t>
  </si>
  <si>
    <t>C16 khoa-hoc-vibe-coding</t>
  </si>
  <si>
    <t>Khóa Học Vibe Coding Cơ Bản Cho Người Mới Bắt Đầu</t>
  </si>
  <si>
    <t>C17 Khóa Học Vibe Coding Cơ Bản</t>
  </si>
  <si>
    <t>Backend Developer Roadmap Workspace</t>
  </si>
  <si>
    <t>C18 Backend Developer Roadmap W</t>
  </si>
  <si>
    <t>frontend-developer-roadmap</t>
  </si>
  <si>
    <t>C19 frontend-developer-roadmap</t>
  </si>
  <si>
    <t>full-stack-developer-roadmap</t>
  </si>
  <si>
    <t>C20 full-stack-developer-roadma</t>
  </si>
  <si>
    <t>NodeJS - The Complete Guide</t>
  </si>
  <si>
    <t>C21 NodeJS - The Complete Guide</t>
  </si>
  <si>
    <t>postgresql-dba-roadmap</t>
  </si>
  <si>
    <t>C22 postgresql-dba-roadmap</t>
  </si>
  <si>
    <t>Android Developer Roadmap Course</t>
  </si>
  <si>
    <t>C23 Android Developer Roadmap C</t>
  </si>
  <si>
    <t>3-in-1 Flutter AI Masterclass: 15 Apps with Cursor &amp; Figma</t>
  </si>
  <si>
    <t>C24 3-in-1 Flutter AI Mastercla</t>
  </si>
  <si>
    <t>Flutter &amp; Dart: The Complete Guide</t>
  </si>
  <si>
    <t>C25 Flutter &amp; Dart- The Complet</t>
  </si>
  <si>
    <t>ios-roadmap</t>
  </si>
  <si>
    <t>C26 ios-roadmap</t>
  </si>
  <si>
    <t>Enterprise Integration Engineer Course</t>
  </si>
  <si>
    <t>C27 Enterprise Integration Engi</t>
  </si>
  <si>
    <t>software-architect-roadmap</t>
  </si>
  <si>
    <t>C28 software-architect-roadmap</t>
  </si>
  <si>
    <t>qa-roadmap</t>
  </si>
  <si>
    <t>C29 qa-roadmap</t>
  </si>
  <si>
    <t>Fundamentals of Backend Communications &amp; Protocols</t>
  </si>
  <si>
    <t>C30 Fundamentals of Backend Com</t>
  </si>
  <si>
    <t>network-engineer-roadmap</t>
  </si>
  <si>
    <t>C31 network-engineer-roadmap</t>
  </si>
  <si>
    <t>Cyber Security Expert Roadmap 2026</t>
  </si>
  <si>
    <t>C32 Cyber Security Expert Roadm</t>
  </si>
  <si>
    <t>devsecops-roadmap</t>
  </si>
  <si>
    <t>C33 devsecops-roadmap</t>
  </si>
  <si>
    <t>blockchain-roadmap</t>
  </si>
  <si>
    <t>C34 blockchain-roadmap</t>
  </si>
  <si>
    <t>Build a Design System - Full Course</t>
  </si>
  <si>
    <t>C35 Build a Design System - Ful</t>
  </si>
  <si>
    <t>Design System &amp; Figma Variable Set Up - Full Tutorial</t>
  </si>
  <si>
    <t>C36 Design System &amp; Figma Varia</t>
  </si>
  <si>
    <t>ux-design-roadmap</t>
  </si>
  <si>
    <t>C37 ux-design-roadmap</t>
  </si>
  <si>
    <t>The Complete Vibe coding for UX/UI Designers</t>
  </si>
  <si>
    <t>C38 The Complete Vibe coding fo</t>
  </si>
  <si>
    <t>Claude Code + Figma MCP Server for Design to Code</t>
  </si>
  <si>
    <t>C39 Claude Code + Figma MCP Ser</t>
  </si>
  <si>
    <t>Design to Code with Figma MCP and Cursor</t>
  </si>
  <si>
    <t>C40 Design to Code with Figma M</t>
  </si>
  <si>
    <t>Vibe-Coding Figma Design System Components with Cursor &amp; Figma MCP</t>
  </si>
  <si>
    <t>C41 Vibe-Coding Figma Design Sy</t>
  </si>
  <si>
    <t>Figma to Angular Mastery: Design to Code with AI</t>
  </si>
  <si>
    <t>C42 Figma to Angular Mastery- D</t>
  </si>
  <si>
    <t>Converting Figma Designs to Code with Cursor + Figma MCP</t>
  </si>
  <si>
    <t>C43 Converting Figma Designs to</t>
  </si>
  <si>
    <t>From Figma to Cursor &amp; Claude Code with MCP — Building Sidebling.com</t>
  </si>
  <si>
    <t>C44 From Figma to Cursor &amp; Clau</t>
  </si>
  <si>
    <t>01 - Blender tổng quát</t>
  </si>
  <si>
    <t>C45 01 - Blender tổng quát</t>
  </si>
  <si>
    <t>02 - Animation cá trong Blender</t>
  </si>
  <si>
    <t>C46 02 - Animation cá trong Ble</t>
  </si>
  <si>
    <t>03 - VFX &amp; mô phỏng Blender</t>
  </si>
  <si>
    <t>C47 03 - VFX &amp; mô phỏng Blender</t>
  </si>
  <si>
    <t>04 - Giải phẫu &amp; phát triển bộ xương cá</t>
  </si>
  <si>
    <t>C48 04 - Giải phẫu &amp; phát triển</t>
  </si>
  <si>
    <t>05 - Cơ học &amp; thủy động lực học bơi cá</t>
  </si>
  <si>
    <t>C49 05 - Cơ học &amp; thủy động lực</t>
  </si>
  <si>
    <t>Complete C# Unity 2D Game Development - Updated To Unity 6</t>
  </si>
  <si>
    <t>C50 Complete C# Unity 2D Game D</t>
  </si>
  <si>
    <t>Complete C# Unity 3D Game Development in Unity 6</t>
  </si>
  <si>
    <t>C51 Complete C# Unity 3D Game D</t>
  </si>
  <si>
    <t>Mastering Ren'Py: Create Visual Novels Like a Pro</t>
  </si>
  <si>
    <t>C52 Mastering Ren'Py- Create Vi</t>
  </si>
  <si>
    <t>Python Basics for Ren'Py Developers</t>
  </si>
  <si>
    <t>C53 Python Basics for Ren'Py De</t>
  </si>
  <si>
    <t>Ren'Py Minigames 101</t>
  </si>
  <si>
    <t>C54 Ren'Py Minigames 101</t>
  </si>
  <si>
    <t>Indie Game Design - Build Your Game's Core System</t>
  </si>
  <si>
    <t>C55 Indie Game Design - Build Y</t>
  </si>
  <si>
    <t>game-developer-roadmap</t>
  </si>
  <si>
    <t>C56 game-developer-roadmap</t>
  </si>
  <si>
    <t>server-side-game-developer-roadmap</t>
  </si>
  <si>
    <t>C57 server-side-game-developer-</t>
  </si>
  <si>
    <t>Pixel Art Master Course - Beginner to Professional/Freelance</t>
  </si>
  <si>
    <t>C58 Pixel Art Master Course - B</t>
  </si>
  <si>
    <t>The English Master Course: English Grammar, English Speaking</t>
  </si>
  <si>
    <t>C59 The English Master Course-</t>
  </si>
  <si>
    <t>Tự học 2.000 từ vựng tiếng Anh</t>
  </si>
  <si>
    <t>C60 Tự học 2.000 từ vựng tiếng</t>
  </si>
  <si>
    <t>Từ vựng tiếng Anh cơ bản</t>
  </si>
  <si>
    <t>C61 Từ vựng tiếng Anh cơ bản</t>
  </si>
  <si>
    <t>Khóa học Tiếng Trung — Giáo trình Hán Ngữ Quyển 1–6</t>
  </si>
  <si>
    <t>C62 Khóa học Tiếng Trung — Giáo</t>
  </si>
  <si>
    <t>Mandarin Mastery Path — Tiếng Trung từ Nền tảng đến HSK 3</t>
  </si>
  <si>
    <t>C63 Mandarin Mastery Path — Tiế</t>
  </si>
  <si>
    <t>Learn Japanese for Beginners — Khóa học Markdown</t>
  </si>
  <si>
    <t>C64 Learn Japanese for Beginner</t>
  </si>
  <si>
    <t>Complete French Course — Khóa học Markdown</t>
  </si>
  <si>
    <t>C65 Complete French Course — Kh</t>
  </si>
  <si>
    <t>Tiếng Đức giao tiếp từ A1 đến B1</t>
  </si>
  <si>
    <t>C66 Tiếng Đức giao tiếp từ A1 đ</t>
  </si>
  <si>
    <t>Khóa học Tiếng Hàn toàn diện cho người mới bắt đầu</t>
  </si>
  <si>
    <t>C67 Khóa học Tiếng Hàn toàn diệ</t>
  </si>
  <si>
    <t>engineering-manager-roadmap</t>
  </si>
  <si>
    <t>C68 engineering-manager-roadmap</t>
  </si>
  <si>
    <t>product-manager-roadmap</t>
  </si>
  <si>
    <t>C69 product-manager-roadmap</t>
  </si>
  <si>
    <t>devrel-roadmap</t>
  </si>
  <si>
    <t>C70 devrel-roadmap</t>
  </si>
  <si>
    <t>technical-writer-roadmap</t>
  </si>
  <si>
    <t>C71 technical-writer-roadmap</t>
  </si>
  <si>
    <t>nutrition-masterclass-build-your-perfect-diet-meal-plan</t>
  </si>
  <si>
    <t>C72 nutrition-masterclass-build</t>
  </si>
  <si>
    <t>Creative Writing: How to Write a Novel - The Full Course</t>
  </si>
  <si>
    <t>C73 Creative Writing- How to Wr</t>
  </si>
  <si>
    <t>Cột1</t>
  </si>
  <si>
    <t>Cột2</t>
  </si>
  <si>
    <t>Cột3</t>
  </si>
  <si>
    <t>Cột4</t>
  </si>
  <si>
    <t>Cột5</t>
  </si>
  <si>
    <t>Cột6</t>
  </si>
  <si>
    <t>Cột7</t>
  </si>
  <si>
    <t>Cột8</t>
  </si>
  <si>
    <t>Cột9</t>
  </si>
  <si>
    <t>TỔNG HỢP THEO LĨNH VỰC</t>
  </si>
  <si>
    <t>THEO DÕI KHÓA HỌC — Tự học phát âm tiếng Anh</t>
  </si>
  <si>
    <t>C74</t>
  </si>
  <si>
    <t>D:\Sao lưu\Udemy\Khóa học\06 - Ngôn ngữ\01 - Tiếng Anh\tu-hoc-phat-am-tieng-anh-markdown.zip</t>
  </si>
  <si>
    <t>Module 01 — Nền tảng và nguyên âm đơn</t>
  </si>
  <si>
    <t>Module 02 — Nguyên âm đôi và tổng kết nguyên âm</t>
  </si>
  <si>
    <t>Module 03 — Hệ thống phụ âm tiếng Anh</t>
  </si>
  <si>
    <t>Module 04 — Biến thể và tổ hợp phụ âm</t>
  </si>
  <si>
    <t>Module 05 — Nói tự nhiên: nối âm, trọng âm và ngữ điệu</t>
  </si>
  <si>
    <t>Module 06 — Luyện tập tổng hợp</t>
  </si>
  <si>
    <t>Module 07 — So sánh giọng Anh–Anh và Anh–Mỹ</t>
  </si>
  <si>
    <t>Tự học phát âm tiếng Anh</t>
  </si>
  <si>
    <t>C74 Tự học phát âm tiếng Anh</t>
  </si>
  <si>
    <t>THEO DÕI KHÓA HỌC — English Pronunciation — Khóa học Markdown</t>
  </si>
  <si>
    <t>C75</t>
  </si>
  <si>
    <t>D:\Sao lưu\Udemy\Khóa học\06 - Ngôn ngữ\01 - Tiếng Anh\english-pronunciation-course.zip</t>
  </si>
  <si>
    <t>Module 01 — Letters and Sounds</t>
  </si>
  <si>
    <t>Module 02 — Syllables</t>
  </si>
  <si>
    <t>Module 03 — Word Stress</t>
  </si>
  <si>
    <t>Module 04 — Sentence Stress &amp; Linking</t>
  </si>
  <si>
    <t>Module 05 — Conversation Flow</t>
  </si>
  <si>
    <t>Module 06 — Emphasis &amp; Intonation</t>
  </si>
  <si>
    <t>Module 07 — Reference &amp; Assessment</t>
  </si>
  <si>
    <t>THEO DÕI KHÓA HỌC — Tự học phát âm tiếng Anh — Nền tảng cho kỹ năng đọc</t>
  </si>
  <si>
    <t>C76</t>
  </si>
  <si>
    <t>D:\Sao lưu\Udemy\Khóa học\06 - Ngôn ngữ\01 - Tiếng Anh\tu-hoc-phat-am-tieng-anh-nen-tang-ky-nang-doc.zip</t>
  </si>
  <si>
    <t>Module 00 — Khởi động và định hướng</t>
  </si>
  <si>
    <t>Module 01 — Nền tảng âm và chữ cái</t>
  </si>
  <si>
    <t>Module 02 — Nguyên âm đơn</t>
  </si>
  <si>
    <t>Module 03 — Nguyên âm đôi và ôn tập nguyên âm</t>
  </si>
  <si>
    <t>Module 04 — Phụ âm — Nhóm đối lập cơ bản</t>
  </si>
  <si>
    <t>Module 05 — Phụ âm — Mũi, hầu và âm tiếp cận</t>
  </si>
  <si>
    <t>Module 06 — Quy tắc phát âm thực hành</t>
  </si>
  <si>
    <t>Module 07 — Trọng âm và ngữ điệu</t>
  </si>
  <si>
    <t>Module 08 — Ôn tập và thực hành tổng hợp</t>
  </si>
  <si>
    <t>THEO DÕI KHÓA HỌC — AlphaAgent — LLM-Driven Alpha Mining và chống Alpha Decay</t>
  </si>
  <si>
    <t>C77</t>
  </si>
  <si>
    <t>D:\Sao lưu\Udemy\Khóa học\01 - AI &amp; Dữ liệu\01 - AI Engineering &amp; LLM\alphaagent-llm-driven-alpha-mining.zip</t>
  </si>
  <si>
    <t>Module 01 — AlphaAgent: LLM-Driven Alpha Mining</t>
  </si>
  <si>
    <t>English Pronunciation — Khóa học Markdown</t>
  </si>
  <si>
    <t>C75 English Pronunciation</t>
  </si>
  <si>
    <t>Tự học phát âm tiếng Anh — Nền tảng cho kỹ năng đọc</t>
  </si>
  <si>
    <t>C76 Phát âm — Kỹ năng đọc</t>
  </si>
  <si>
    <t>AlphaAgent — LLM-Driven Alpha Mining và chống Alpha Decay</t>
  </si>
  <si>
    <t>C77 AlphaAgent — Alpha Mining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</si>
</sst>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00"/>
  </numFmts>
  <fonts count="12" x14ac:knownFonts="1">
    <font>
      <sz val="11"/>
      <color theme="1"/>
      <name val="Aptos Narrow"/>
      <family val="2"/>
      <charset val="163"/>
      <scheme val="minor"/>
    </font>
    <font>
      <b/>
      <sz val="18"/>
      <color rgb="FFFFFFFF"/>
      <name val="Aptos Display"/>
      <family val="2"/>
    </font>
    <font>
      <b/>
      <sz val="11"/>
      <color rgb="FFFFFF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rgb="FF64748B"/>
      <name val="Aptos Narrow"/>
      <family val="2"/>
      <scheme val="minor"/>
    </font>
    <font>
      <b/>
      <sz val="11"/>
      <color rgb="FF475569"/>
      <name val="Aptos Narrow"/>
      <family val="2"/>
      <scheme val="minor"/>
    </font>
    <font>
      <sz val="11"/>
      <color rgb="FF475569"/>
      <name val="Aptos Narrow"/>
      <family val="2"/>
      <charset val="163"/>
      <scheme val="minor"/>
    </font>
    <font>
      <b/>
      <sz val="9"/>
      <color rgb="FF475569"/>
      <name val="Aptos Narrow"/>
      <family val="2"/>
      <scheme val="minor"/>
    </font>
    <font>
      <b/>
      <sz val="18"/>
      <color rgb="FF0F172A"/>
      <name val="Aptos Narrow"/>
      <family val="2"/>
      <scheme val="minor"/>
    </font>
    <font>
      <sz val="10"/>
      <color theme="1"/>
      <name val="Aptos"/>
      <family val="2"/>
    </font>
    <font>
      <u/>
      <sz val="11"/>
      <color theme="10"/>
      <name val="Aptos Narrow"/>
      <family val="2"/>
      <charset val="163"/>
      <scheme val="minor"/>
    </font>
    <font>
      <b/>
      <sz val="10"/>
      <color rgb="FF475569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0D9488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2FF"/>
        <bgColor indexed="64"/>
      </patternFill>
    </fill>
  </fills>
  <borders count="5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horizontal="center"/>
    </xf>
    <xf numFmtId="0" fontId="3" fillId="4" borderId="0" xfId="0" applyFont="1" applyFill="1"/>
    <xf numFmtId="0" fontId="0" fillId="0" borderId="1" xfId="0" applyBorder="1"/>
    <xf numFmtId="0" fontId="0" fillId="6" borderId="0" xfId="0" applyFill="1"/>
    <xf numFmtId="0" fontId="5" fillId="6" borderId="0" xfId="0" applyFont="1" applyFill="1"/>
    <xf numFmtId="0" fontId="2" fillId="3" borderId="0" xfId="0" applyFont="1" applyFill="1" applyAlignment="1">
      <alignment horizontal="center" wrapText="1"/>
    </xf>
    <xf numFmtId="0" fontId="0" fillId="0" borderId="2" xfId="0" applyBorder="1"/>
    <xf numFmtId="0" fontId="0" fillId="11" borderId="2" xfId="0" applyFill="1" applyBorder="1"/>
    <xf numFmtId="9" fontId="0" fillId="11" borderId="2" xfId="0" applyNumberFormat="1" applyFill="1" applyBorder="1"/>
    <xf numFmtId="164" fontId="0" fillId="11" borderId="2" xfId="0" applyNumberFormat="1" applyFill="1" applyBorder="1"/>
    <xf numFmtId="14" fontId="0" fillId="11" borderId="2" xfId="0" applyNumberFormat="1" applyFill="1" applyBorder="1"/>
    <xf numFmtId="0" fontId="0" fillId="0" borderId="2" xfId="0" applyBorder="1" applyAlignment="1">
      <alignment wrapText="1"/>
    </xf>
    <xf numFmtId="0" fontId="0" fillId="11" borderId="2" xfId="0" applyFill="1" applyBorder="1" applyAlignment="1">
      <alignment wrapText="1"/>
    </xf>
    <xf numFmtId="0" fontId="9" fillId="6" borderId="0" xfId="0" applyFont="1" applyFill="1"/>
    <xf numFmtId="0" fontId="11" fillId="6" borderId="0" xfId="0" applyFont="1" applyFill="1"/>
    <xf numFmtId="0" fontId="2" fillId="3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11" borderId="2" xfId="0" applyFill="1" applyBorder="1" applyAlignment="1">
      <alignment horizontal="center" vertical="center"/>
    </xf>
    <xf numFmtId="9" fontId="0" fillId="11" borderId="2" xfId="0" applyNumberFormat="1" applyFill="1" applyBorder="1" applyAlignment="1">
      <alignment horizontal="center" vertical="center"/>
    </xf>
    <xf numFmtId="164" fontId="0" fillId="11" borderId="2" xfId="0" applyNumberFormat="1" applyFill="1" applyBorder="1" applyAlignment="1">
      <alignment horizontal="center" vertical="center"/>
    </xf>
    <xf numFmtId="14" fontId="0" fillId="11" borderId="2" xfId="0" applyNumberFormat="1" applyFill="1" applyBorder="1" applyAlignment="1">
      <alignment horizontal="center" vertical="center"/>
    </xf>
    <xf numFmtId="0" fontId="0" fillId="11" borderId="2" xfId="0" applyFill="1" applyBorder="1" applyAlignment="1">
      <alignment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11" borderId="4" xfId="0" applyFill="1" applyBorder="1" applyAlignment="1">
      <alignment horizontal="center" vertical="center"/>
    </xf>
    <xf numFmtId="9" fontId="0" fillId="11" borderId="4" xfId="0" applyNumberFormat="1" applyFill="1" applyBorder="1" applyAlignment="1">
      <alignment horizontal="center" vertical="center"/>
    </xf>
    <xf numFmtId="164" fontId="0" fillId="11" borderId="4" xfId="0" applyNumberFormat="1" applyFill="1" applyBorder="1" applyAlignment="1">
      <alignment horizontal="center" vertical="center"/>
    </xf>
    <xf numFmtId="14" fontId="0" fillId="11" borderId="4" xfId="0" applyNumberFormat="1" applyFill="1" applyBorder="1" applyAlignment="1">
      <alignment horizontal="center" vertical="center"/>
    </xf>
    <xf numFmtId="0" fontId="0" fillId="11" borderId="4" xfId="0" applyFill="1" applyBorder="1" applyAlignment="1">
      <alignment vertical="center" wrapText="1"/>
    </xf>
    <xf numFmtId="0" fontId="2" fillId="3" borderId="0" xfId="0" applyFont="1" applyFill="1" applyAlignment="1">
      <alignment wrapText="1"/>
    </xf>
    <xf numFmtId="1" fontId="0" fillId="0" borderId="2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" fontId="0" fillId="0" borderId="4" xfId="0" applyNumberFormat="1" applyBorder="1" applyAlignment="1">
      <alignment horizontal="center" vertical="center"/>
    </xf>
    <xf numFmtId="9" fontId="0" fillId="0" borderId="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3" fillId="4" borderId="2" xfId="0" applyFont="1" applyFill="1" applyBorder="1"/>
    <xf numFmtId="9" fontId="0" fillId="0" borderId="2" xfId="0" applyNumberFormat="1" applyBorder="1"/>
    <xf numFmtId="0" fontId="0" fillId="12" borderId="2" xfId="0" applyFill="1" applyBorder="1"/>
    <xf numFmtId="9" fontId="0" fillId="12" borderId="2" xfId="0" applyNumberFormat="1" applyFill="1" applyBorder="1"/>
    <xf numFmtId="164" fontId="0" fillId="12" borderId="2" xfId="0" applyNumberFormat="1" applyFill="1" applyBorder="1"/>
    <xf numFmtId="14" fontId="0" fillId="12" borderId="2" xfId="0" applyNumberFormat="1" applyFill="1" applyBorder="1"/>
    <xf numFmtId="0" fontId="0" fillId="12" borderId="2" xfId="0" applyFill="1" applyBorder="1" applyAlignment="1">
      <alignment wrapText="1"/>
    </xf>
    <xf numFmtId="0" fontId="0" fillId="0" borderId="4" xfId="0" applyBorder="1"/>
    <xf numFmtId="0" fontId="0" fillId="0" borderId="4" xfId="0" applyBorder="1" applyAlignment="1">
      <alignment wrapText="1"/>
    </xf>
    <xf numFmtId="0" fontId="0" fillId="12" borderId="4" xfId="0" applyFill="1" applyBorder="1"/>
    <xf numFmtId="9" fontId="0" fillId="12" borderId="4" xfId="0" applyNumberFormat="1" applyFill="1" applyBorder="1"/>
    <xf numFmtId="164" fontId="0" fillId="12" borderId="4" xfId="0" applyNumberFormat="1" applyFill="1" applyBorder="1"/>
    <xf numFmtId="14" fontId="0" fillId="12" borderId="4" xfId="0" applyNumberFormat="1" applyFill="1" applyBorder="1"/>
    <xf numFmtId="0" fontId="0" fillId="12" borderId="4" xfId="0" applyFill="1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10" fillId="6" borderId="0" xfId="1" applyFill="1"/>
    <xf numFmtId="0" fontId="0" fillId="6" borderId="0" xfId="0" applyFill="1"/>
    <xf numFmtId="0" fontId="7" fillId="4" borderId="0" xfId="0" applyFont="1" applyFill="1" applyAlignment="1">
      <alignment horizontal="center" vertical="center"/>
    </xf>
    <xf numFmtId="1" fontId="8" fillId="7" borderId="2" xfId="0" applyNumberFormat="1" applyFont="1" applyFill="1" applyBorder="1" applyAlignment="1">
      <alignment horizontal="center" vertical="center"/>
    </xf>
    <xf numFmtId="1" fontId="8" fillId="8" borderId="2" xfId="0" applyNumberFormat="1" applyFont="1" applyFill="1" applyBorder="1" applyAlignment="1">
      <alignment horizontal="center" vertical="center"/>
    </xf>
    <xf numFmtId="9" fontId="8" fillId="9" borderId="2" xfId="0" applyNumberFormat="1" applyFont="1" applyFill="1" applyBorder="1" applyAlignment="1">
      <alignment horizontal="center" vertical="center"/>
    </xf>
    <xf numFmtId="164" fontId="8" fillId="10" borderId="2" xfId="0" applyNumberFormat="1" applyFont="1" applyFill="1" applyBorder="1" applyAlignment="1">
      <alignment horizontal="center" vertical="center"/>
    </xf>
    <xf numFmtId="0" fontId="4" fillId="5" borderId="3" xfId="0" applyFont="1" applyFill="1" applyBorder="1"/>
    <xf numFmtId="0" fontId="0" fillId="0" borderId="3" xfId="0" applyBorder="1"/>
    <xf numFmtId="0" fontId="6" fillId="6" borderId="0" xfId="0" applyFont="1" applyFill="1"/>
    <xf numFmtId="0" fontId="0" fillId="0" borderId="0" xfId="0"/>
    <xf numFmtId="0" fontId="2" fillId="3" borderId="0" xfId="0" applyFont="1" applyFill="1"/>
    <xf numFmtId="0" fontId="4" fillId="0" borderId="0" xfId="0" applyFont="1"/>
    <xf numFmtId="1" fontId="8" fillId="9" borderId="2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9" fillId="6" borderId="0" xfId="0" applyFont="1" applyFill="1"/>
    <xf numFmtId="1" fontId="0" fillId="7" borderId="2" xfId="0" applyNumberFormat="1" applyFont="1" applyFill="1" applyBorder="1" applyAlignment="1">
      <alignment horizontal="center" vertical="center"/>
    </xf>
    <xf numFmtId="164" fontId="0" fillId="10" borderId="2" xfId="0" applyNumberFormat="1" applyFont="1" applyFill="1" applyBorder="1" applyAlignment="1">
      <alignment horizontal="center" vertical="center"/>
    </xf>
    <xf numFmtId="1" fontId="0" fillId="8" borderId="2" xfId="0" applyNumberFormat="1" applyFont="1" applyFill="1" applyBorder="1" applyAlignment="1">
      <alignment horizontal="center" vertical="center"/>
    </xf>
    <xf numFmtId="1" fontId="0" fillId="9" borderId="2" xfId="0" applyNumberFormat="1" applyFont="1" applyFill="1" applyBorder="1" applyAlignment="1">
      <alignment horizontal="center" vertical="center"/>
    </xf>
    <xf numFmtId="9" fontId="0" fillId="9" borderId="2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vertical="center" wrapText="1"/>
    </xf>
    <xf numFmtId="1" fontId="0" fillId="0" borderId="2" xfId="0" applyNumberFormat="1" applyFill="1" applyBorder="1" applyAlignment="1">
      <alignment horizontal="center" vertical="center"/>
    </xf>
    <xf numFmtId="9" fontId="0" fillId="0" borderId="2" xfId="0" applyNumberFormat="1" applyFill="1" applyBorder="1" applyAlignment="1">
      <alignment horizontal="center" vertical="center"/>
    </xf>
    <xf numFmtId="164" fontId="0" fillId="0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</cellXfs>
  <cellStyles count="2">
    <cellStyle name="Bình thường" xfId="0" builtinId="0"/>
    <cellStyle name="Siêu kết nối" xfId="1" builtinId="8"/>
  </cellStyles>
  <dxfs count="86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bottom" textRotation="0" wrapText="1" indent="0" justifyLastLine="0" shrinkToFit="0" readingOrder="0"/>
    </dxf>
    <dxf>
      <fill>
        <patternFill patternType="solid">
          <fgColor indexed="64"/>
          <bgColor rgb="FFFFF2FF"/>
        </patternFill>
      </fill>
    </dxf>
    <dxf>
      <fill>
        <patternFill patternType="solid">
          <fgColor indexed="64"/>
          <bgColor rgb="FFFFF2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9" formatCode="dd/mm/yyyy"/>
      <fill>
        <patternFill patternType="solid">
          <fgColor indexed="64"/>
          <bgColor rgb="FFFFF2FF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64" formatCode="#,#00"/>
      <fill>
        <patternFill patternType="solid">
          <fgColor indexed="64"/>
          <bgColor rgb="FFFFF2FF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3" formatCode="0%"/>
      <fill>
        <patternFill patternType="solid">
          <fgColor indexed="64"/>
          <bgColor rgb="FFFFF2FF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solid">
          <fgColor indexed="64"/>
          <bgColor rgb="FFFFF2FF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border outline="0"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bottom" textRotation="0" wrapText="1" indent="0" justifyLastLine="0" shrinkToFit="0" readingOrder="0"/>
    </dxf>
    <dxf>
      <fill>
        <patternFill patternType="solid">
          <fgColor indexed="64"/>
          <bgColor rgb="FFFFF2FF"/>
        </patternFill>
      </fill>
    </dxf>
    <dxf>
      <fill>
        <patternFill patternType="solid">
          <fgColor indexed="64"/>
          <bgColor rgb="FFFFF2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FF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FF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FF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FF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bottom" textRotation="0" wrapText="1" indent="0" justifyLastLine="0" shrinkToFit="0" readingOrder="0"/>
    </dxf>
    <dxf>
      <fill>
        <patternFill patternType="solid">
          <fgColor indexed="64"/>
          <bgColor rgb="FFFFF2FF"/>
        </patternFill>
      </fill>
    </dxf>
    <dxf>
      <fill>
        <patternFill patternType="solid">
          <fgColor indexed="64"/>
          <bgColor rgb="FFFFF2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FF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FF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FF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FF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/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2CC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FFF2FF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9" formatCode="dd/mm/yyyy"/>
      <fill>
        <patternFill patternType="solid">
          <fgColor indexed="64"/>
          <bgColor rgb="FFFFF2FF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#,#00"/>
      <fill>
        <patternFill patternType="solid">
          <fgColor indexed="64"/>
          <bgColor rgb="FFFFF2FF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3" formatCode="0%"/>
      <fill>
        <patternFill patternType="solid">
          <fgColor indexed="64"/>
          <bgColor rgb="FFFFF2FF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fill>
        <patternFill patternType="solid">
          <fgColor indexed="64"/>
          <bgColor rgb="FFFFF2FF"/>
        </patternFill>
      </fill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ill>
        <patternFill patternType="solid">
          <fgColor indexed="64"/>
          <bgColor rgb="FFFFF2FF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minor"/>
      </font>
      <fill>
        <patternFill patternType="solid">
          <fgColor indexed="64"/>
          <bgColor rgb="FF0D9488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vi-VN"/>
              <a:t>Tiến độ trung bình theo lĩnh vực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invertIfNegative val="0"/>
          <c:cat>
            <c:strRef>
              <c:f>'TỔNG QUAN'!$L$11:$L$20</c:f>
              <c:strCache>
                <c:ptCount val="10"/>
                <c:pt idx="0">
                  <c:v>Lĩnh vực</c:v>
                </c:pt>
                <c:pt idx="1">
                  <c:v>01 - AI &amp; Dữ liệu</c:v>
                </c:pt>
                <c:pt idx="2">
                  <c:v>02 - Lập trình &amp; Phát triển phần mềm</c:v>
                </c:pt>
                <c:pt idx="3">
                  <c:v>03 - Hạ tầng, Mạng &amp; An ninh</c:v>
                </c:pt>
                <c:pt idx="4">
                  <c:v>04 - Thiết kế &amp; Sáng tạo số</c:v>
                </c:pt>
                <c:pt idx="5">
                  <c:v>05 - Phát triển game</c:v>
                </c:pt>
                <c:pt idx="6">
                  <c:v>06 - Ngôn ngữ</c:v>
                </c:pt>
                <c:pt idx="7">
                  <c:v>07 - Kinh doanh &amp; Quản lý</c:v>
                </c:pt>
                <c:pt idx="8">
                  <c:v>08 - Sức khỏe &amp; Đời sống</c:v>
                </c:pt>
                <c:pt idx="9">
                  <c:v>09 - Viết &amp; Sáng tác</c:v>
                </c:pt>
              </c:strCache>
            </c:strRef>
          </c:cat>
          <c:val>
            <c:numRef>
              <c:f>'TỔNG QUAN'!$N$11:$N$20</c:f>
              <c:numCache>
                <c:formatCode>0%</c:formatCode>
                <c:ptCount val="10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C8-46BC-8706-6A6A6955C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0438863"/>
        <c:axId val="235098991"/>
      </c:barChart>
      <c:catAx>
        <c:axId val="370438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35098991"/>
        <c:crosses val="autoZero"/>
        <c:auto val="1"/>
        <c:lblAlgn val="ctr"/>
        <c:lblOffset val="100"/>
        <c:noMultiLvlLbl val="0"/>
      </c:catAx>
      <c:valAx>
        <c:axId val="235098991"/>
        <c:scaling>
          <c:orientation val="minMax"/>
          <c:max val="1"/>
          <c:min val="0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370438863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152400</xdr:colOff>
      <xdr:row>2</xdr:row>
      <xdr:rowOff>111760</xdr:rowOff>
    </xdr:from>
    <xdr:to>
      <xdr:col>26</xdr:col>
      <xdr:colOff>152400</xdr:colOff>
      <xdr:row>13</xdr:row>
      <xdr:rowOff>271780</xdr:rowOff>
    </xdr:to>
    <xdr:graphicFrame macro="">
      <xdr:nvGraphicFramePr>
        <xdr:cNvPr id="2" name="Biểu đồ 1">
          <a:extLst>
            <a:ext uri="{FF2B5EF4-FFF2-40B4-BE49-F238E27FC236}">
              <a16:creationId xmlns:a16="http://schemas.microsoft.com/office/drawing/2014/main" id="{C3A551B2-9F9F-729F-306E-37A8E102C0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42C2F8A-0A7D-4B27-B587-0CCFBB3A842D}" name="Tbl_CourseSummary" displayName="Tbl_CourseSummary" ref="A11:J88" totalsRowShown="0" headerRowDxfId="848" dataDxfId="847" tableBorderDxfId="846">
  <autoFilter ref="A11:J88" xr:uid="{742C2F8A-0A7D-4B27-B587-0CCFBB3A842D}"/>
  <tableColumns count="10">
    <tableColumn id="1" xr3:uid="{7A105266-72CB-460C-B74B-0C577E1A1055}" name="Mã" dataDxfId="845"/>
    <tableColumn id="2" xr3:uid="{A4112E76-3032-4597-BAC7-C6A58CA86D35}" name="Cột1" dataDxfId="844"/>
    <tableColumn id="3" xr3:uid="{0AE429B5-156F-47FD-A0C3-90F7142F670F}" name="Cột2" dataDxfId="843"/>
    <tableColumn id="4" xr3:uid="{AECBC799-998E-497B-B314-5B6552A6C3A5}" name="Cột3" dataDxfId="842"/>
    <tableColumn id="5" xr3:uid="{161A7C15-0ADD-4995-9614-F9C85C37B5A8}" name="Cột4" dataDxfId="841"/>
    <tableColumn id="6" xr3:uid="{C5C586F8-FC7E-4F28-A53F-A4172B512645}" name="Cột5" dataDxfId="840"/>
    <tableColumn id="7" xr3:uid="{95B060A3-1B0E-4434-BF5B-DB19ABB56573}" name="Cột6" dataDxfId="839"/>
    <tableColumn id="8" xr3:uid="{A389DE0A-A317-4266-BEBA-C4778B98D742}" name="Cột7" dataDxfId="838"/>
    <tableColumn id="9" xr3:uid="{7D2A7A7D-0719-4C9A-BBDC-47A89CC415D9}" name="Cột8" dataDxfId="837">
      <calculatedColumnFormula>IF(E12=0,"Chưa có module",IF(F12=E12,"Đã hoàn thành",IF(F12=0,"Chưa bắt đầu","Đang học")))</calculatedColumnFormula>
    </tableColumn>
    <tableColumn id="10" xr3:uid="{4D02AF23-5BE0-4E2F-BB36-4A1578EA246B}" name="Cột9" dataDxfId="8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496A9672-AA5A-4AD5-B84E-4846ADBDAF36}" name="Tbl_C74" displayName="Tbl_C74" ref="A9:H16" totalsRowShown="0" headerRowDxfId="859" dataDxfId="858" tableBorderDxfId="857">
  <autoFilter ref="A9:H16" xr:uid="{496A9672-AA5A-4AD5-B84E-4846ADBDAF36}"/>
  <tableColumns count="8">
    <tableColumn id="1" xr3:uid="{4772EA39-FD57-4B04-AEA2-4766493B2231}" name="STT" dataDxfId="856"/>
    <tableColumn id="2" xr3:uid="{77D811A7-DABA-41A7-AEE7-7620AC984D7E}" name="Module" dataDxfId="855"/>
    <tableColumn id="3" xr3:uid="{2CF7E5CB-14E7-4724-88A1-19AFB9087CB5}" name="Số bài" dataDxfId="854"/>
    <tableColumn id="4" xr3:uid="{7279210A-848B-4C89-BD31-2620E260122E}" name="Trạng thái" dataDxfId="853"/>
    <tableColumn id="5" xr3:uid="{6ADBF748-97DC-4ED1-9B6D-79BDEB29BB3A}" name="Tiến độ (%)" dataDxfId="852">
      <calculatedColumnFormula>0</calculatedColumnFormula>
    </tableColumn>
    <tableColumn id="6" xr3:uid="{38B15116-27E7-4367-8FC4-960E60054208}" name="Điểm /10" dataDxfId="851"/>
    <tableColumn id="7" xr3:uid="{0E3CC149-BB07-42D1-86D0-576DF5C2133E}" name="Ngày hoàn thành" dataDxfId="850"/>
    <tableColumn id="8" xr3:uid="{98589724-B3A6-43B3-84FB-6414FAF01350}" name="Ghi chú" dataDxfId="8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2BE1D3D0-CA5A-4A55-B2D9-7F6A0AD31953}" name="Tbl_C73" displayName="Tbl_C73" ref="A9:H13" totalsRowShown="0" headerRowDxfId="835" dataDxfId="834" tableBorderDxfId="833">
  <autoFilter ref="A9:H13" xr:uid="{2BE1D3D0-CA5A-4A55-B2D9-7F6A0AD31953}"/>
  <tableColumns count="8">
    <tableColumn id="1" xr3:uid="{13BD310B-66DE-4711-BC5A-527AF7891FA9}" name="STT" dataDxfId="832"/>
    <tableColumn id="2" xr3:uid="{4D0DA1E0-F9AE-482B-9480-06D7E784A814}" name="Module" dataDxfId="831"/>
    <tableColumn id="3" xr3:uid="{78D6F5E3-7C8C-4477-804B-CC3DE7670227}" name="Số bài" dataDxfId="830"/>
    <tableColumn id="4" xr3:uid="{4D2121C1-0250-4406-87AC-681EF9B21FB7}" name="Trạng thái" dataDxfId="829"/>
    <tableColumn id="5" xr3:uid="{18F83978-ED6A-49BF-86AD-E646862E4693}" name="Tiến độ (%)" dataDxfId="828"/>
    <tableColumn id="6" xr3:uid="{0E4E13F6-EF41-43CE-9960-27495F9DEDE2}" name="Điểm /10" dataDxfId="827"/>
    <tableColumn id="7" xr3:uid="{E8B0D6E3-497D-4C75-A0B9-6C93D5767326}" name="Ngày hoàn thành" dataDxfId="826"/>
    <tableColumn id="8" xr3:uid="{65E39EEA-29AC-478C-BD17-FFD39BD8B68D}" name="Ghi chú" dataDxfId="82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701FF9-9F3C-4CFC-A7F0-5209041F28C7}" name="Tbl_C72" displayName="Tbl_C72" ref="A9:H19" totalsRowShown="0" headerRowDxfId="824" dataDxfId="823" tableBorderDxfId="822">
  <autoFilter ref="A9:H19" xr:uid="{00701FF9-9F3C-4CFC-A7F0-5209041F28C7}"/>
  <tableColumns count="8">
    <tableColumn id="1" xr3:uid="{2582A386-F882-45DC-8353-0073CCCC7345}" name="STT" dataDxfId="821"/>
    <tableColumn id="2" xr3:uid="{BFFA32DD-5066-4DBC-B753-DEAFC7995CDD}" name="Module" dataDxfId="820"/>
    <tableColumn id="3" xr3:uid="{66B03A04-A5A7-48EA-9B22-E4B1C3A1F523}" name="Số bài" dataDxfId="819"/>
    <tableColumn id="4" xr3:uid="{DDECAACC-95E6-4537-87A1-3FFA1115080A}" name="Trạng thái" dataDxfId="818"/>
    <tableColumn id="5" xr3:uid="{A540FC87-AEBB-4E47-887B-BBCD7DFAB8DD}" name="Tiến độ (%)" dataDxfId="817"/>
    <tableColumn id="6" xr3:uid="{5921CF08-A005-4ED7-8031-1A17FB56E4F4}" name="Điểm /10" dataDxfId="816"/>
    <tableColumn id="7" xr3:uid="{D11CF951-467C-4CAD-A71F-A8DD70B1FF0E}" name="Ngày hoàn thành" dataDxfId="815"/>
    <tableColumn id="8" xr3:uid="{5168AF60-4F4A-414E-9D89-E13A2440EB68}" name="Ghi chú" dataDxfId="81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267F3672-56A4-45B1-9031-CEB35A8026BC}" name="Tbl_C71" displayName="Tbl_C71" ref="A9:H10" totalsRowShown="0" headerRowDxfId="813" dataDxfId="812" tableBorderDxfId="811">
  <autoFilter ref="A9:H10" xr:uid="{267F3672-56A4-45B1-9031-CEB35A8026BC}"/>
  <tableColumns count="8">
    <tableColumn id="1" xr3:uid="{0BF0E8D9-D24A-4FBB-86D4-EA409653B903}" name="STT" dataDxfId="810"/>
    <tableColumn id="2" xr3:uid="{F8BC65DE-9C71-4015-A3D7-04DE5B2CDCBB}" name="Module" dataDxfId="809"/>
    <tableColumn id="3" xr3:uid="{18AEF4BB-3468-4D47-B19E-EFEF8EBA8996}" name="Số bài" dataDxfId="808"/>
    <tableColumn id="4" xr3:uid="{A86B41AE-8C05-4C4C-AD95-7EC489D3D8ED}" name="Trạng thái" dataDxfId="807"/>
    <tableColumn id="5" xr3:uid="{41CEBFE4-7157-4C43-9E75-AEC98FC5F5F1}" name="Tiến độ (%)" dataDxfId="806"/>
    <tableColumn id="6" xr3:uid="{3F8AA75E-7508-4281-A027-17C2A38CBAA0}" name="Điểm /10" dataDxfId="805"/>
    <tableColumn id="7" xr3:uid="{C10887CB-DD87-43CA-B188-18FF3359BDA8}" name="Ngày hoàn thành" dataDxfId="804"/>
    <tableColumn id="8" xr3:uid="{1E1C3268-03F9-4656-837D-A34B82942E2F}" name="Ghi chú" dataDxfId="80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FAF40310-D642-4AB4-A74A-B57CCE34A832}" name="Tbl_C70" displayName="Tbl_C70" ref="A9:H11" totalsRowShown="0" headerRowDxfId="802" dataDxfId="801" tableBorderDxfId="800">
  <autoFilter ref="A9:H11" xr:uid="{FAF40310-D642-4AB4-A74A-B57CCE34A832}"/>
  <tableColumns count="8">
    <tableColumn id="1" xr3:uid="{4212CCC4-9AA6-4ECD-A38A-18326A881306}" name="STT" dataDxfId="799"/>
    <tableColumn id="2" xr3:uid="{956A8474-4D00-4D47-B5D4-B5E9A5FF1BC6}" name="Module" dataDxfId="798"/>
    <tableColumn id="3" xr3:uid="{7DF510EB-72EB-43EA-A6E2-4F9062AA31E7}" name="Số bài" dataDxfId="797"/>
    <tableColumn id="4" xr3:uid="{AE32261F-316A-4CD6-9CEC-56E87ADF71D9}" name="Trạng thái" dataDxfId="796"/>
    <tableColumn id="5" xr3:uid="{7F3F64BE-400A-4CE3-B780-A59335479108}" name="Tiến độ (%)" dataDxfId="795"/>
    <tableColumn id="6" xr3:uid="{9C19051A-CD04-4153-8B7C-C6A6DDE32DC6}" name="Điểm /10" dataDxfId="794"/>
    <tableColumn id="7" xr3:uid="{CE707A99-05A4-4C98-8D0E-D1F312896A1B}" name="Ngày hoàn thành" dataDxfId="793"/>
    <tableColumn id="8" xr3:uid="{E89F6B03-B74F-4DD5-BDC7-06E899016323}" name="Ghi chú" dataDxfId="7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177D19DC-793D-40A3-9927-B9599A81E915}" name="Tbl_C69" displayName="Tbl_C69" ref="A9:H11" totalsRowShown="0" headerRowDxfId="791" dataDxfId="790" tableBorderDxfId="789">
  <autoFilter ref="A9:H11" xr:uid="{177D19DC-793D-40A3-9927-B9599A81E915}"/>
  <tableColumns count="8">
    <tableColumn id="1" xr3:uid="{BA5D2363-2B76-40BC-98A3-121659DF9649}" name="STT" dataDxfId="788"/>
    <tableColumn id="2" xr3:uid="{830E0E9E-F183-4E47-83AA-A43A44713661}" name="Module" dataDxfId="787"/>
    <tableColumn id="3" xr3:uid="{4267C3C6-BC1C-4CE8-9624-07D9E302C82A}" name="Số bài" dataDxfId="786"/>
    <tableColumn id="4" xr3:uid="{55509360-6B09-4DCF-9402-62DE833EF110}" name="Trạng thái" dataDxfId="785"/>
    <tableColumn id="5" xr3:uid="{27D8AD45-382A-4D49-AA8E-054C36492600}" name="Tiến độ (%)" dataDxfId="784"/>
    <tableColumn id="6" xr3:uid="{1AB9859C-F9F5-4161-B76B-39118431017F}" name="Điểm /10" dataDxfId="783"/>
    <tableColumn id="7" xr3:uid="{F4E8AA12-9EEF-4F43-B4E0-43F6A6A39920}" name="Ngày hoàn thành" dataDxfId="782"/>
    <tableColumn id="8" xr3:uid="{94981FC3-AA8E-4FD0-8985-3F15EA20C41F}" name="Ghi chú" dataDxfId="78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DA9F3493-5141-499D-9BBB-35DBA73D8A21}" name="Tbl_C68" displayName="Tbl_C68" ref="A9:H10" totalsRowShown="0" headerRowDxfId="780" dataDxfId="779" tableBorderDxfId="778">
  <autoFilter ref="A9:H10" xr:uid="{DA9F3493-5141-499D-9BBB-35DBA73D8A21}"/>
  <tableColumns count="8">
    <tableColumn id="1" xr3:uid="{BB51B0BF-7A4B-4338-8137-38C126C6BF31}" name="STT" dataDxfId="777"/>
    <tableColumn id="2" xr3:uid="{01226C6C-FF30-47C7-8F18-3EFFAEEC3A0B}" name="Module" dataDxfId="776"/>
    <tableColumn id="3" xr3:uid="{696A9F5D-501F-4988-A5E9-69A54AC794D1}" name="Số bài" dataDxfId="775"/>
    <tableColumn id="4" xr3:uid="{CB5A2DBB-96AC-46D6-95D0-C9CDE9345585}" name="Trạng thái" dataDxfId="774"/>
    <tableColumn id="5" xr3:uid="{A6B1BBE3-F132-4FAA-9E0B-D7BA278A6BB8}" name="Tiến độ (%)" dataDxfId="773"/>
    <tableColumn id="6" xr3:uid="{9F2603E1-77C9-4B83-860E-2005DFEEB915}" name="Điểm /10" dataDxfId="772"/>
    <tableColumn id="7" xr3:uid="{46C32161-7912-453E-A975-0335F4F13981}" name="Ngày hoàn thành" dataDxfId="771"/>
    <tableColumn id="8" xr3:uid="{D2A37DBB-3570-4618-B8EA-C5EA2784E59B}" name="Ghi chú" dataDxfId="77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894D84CF-7B93-46D7-96FD-9D81D598A596}" name="Tbl_C67" displayName="Tbl_C67" ref="A9:H91" totalsRowShown="0" headerRowDxfId="769" dataDxfId="768" tableBorderDxfId="767">
  <autoFilter ref="A9:H91" xr:uid="{894D84CF-7B93-46D7-96FD-9D81D598A596}"/>
  <tableColumns count="8">
    <tableColumn id="1" xr3:uid="{D626D1A6-B1AE-4568-BCD2-BB7AB39686FE}" name="STT" dataDxfId="766"/>
    <tableColumn id="2" xr3:uid="{11A24314-9FEB-402C-BBAA-D35BCE5D23E9}" name="Module" dataDxfId="765"/>
    <tableColumn id="3" xr3:uid="{4E5AF556-7078-4007-A1A1-1363ECDA3D34}" name="Số bài" dataDxfId="764"/>
    <tableColumn id="4" xr3:uid="{109381B7-F26B-417C-92A1-335C47F1638B}" name="Trạng thái" dataDxfId="763"/>
    <tableColumn id="5" xr3:uid="{8C547A09-523A-4E10-9831-3A915B1FB768}" name="Tiến độ (%)" dataDxfId="762"/>
    <tableColumn id="6" xr3:uid="{009B24D2-FAA7-492B-A00D-A9534F5DF097}" name="Điểm /10" dataDxfId="761"/>
    <tableColumn id="7" xr3:uid="{05B5C9B4-3A1C-46D4-B16D-E9AFE1D41CB6}" name="Ngày hoàn thành" dataDxfId="760"/>
    <tableColumn id="8" xr3:uid="{0933F0EE-2D87-4E97-98CA-66C3C77B6C86}" name="Ghi chú" dataDxfId="759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6EE1B72-29DB-4097-877C-873C0175A0AB}" name="Tbl_C66" displayName="Tbl_C66" ref="A9:H330" totalsRowShown="0" headerRowDxfId="758" dataDxfId="757" tableBorderDxfId="756">
  <autoFilter ref="A9:H330" xr:uid="{06EE1B72-29DB-4097-877C-873C0175A0AB}"/>
  <tableColumns count="8">
    <tableColumn id="1" xr3:uid="{924E325D-2138-4126-B029-57ACD0AB7118}" name="STT" dataDxfId="755"/>
    <tableColumn id="2" xr3:uid="{99D9E14C-BFD5-4E86-9436-DE6D47229FD6}" name="Module" dataDxfId="754"/>
    <tableColumn id="3" xr3:uid="{09DB0593-0041-4018-940C-5F07DB48406C}" name="Số bài" dataDxfId="753"/>
    <tableColumn id="4" xr3:uid="{17907833-D973-4A92-A6D0-8F95ACB12BD0}" name="Trạng thái" dataDxfId="752"/>
    <tableColumn id="5" xr3:uid="{7807253D-EB59-448D-994A-E7837C49DAE1}" name="Tiến độ (%)" dataDxfId="751"/>
    <tableColumn id="6" xr3:uid="{B52B88B5-37F2-43F8-97EA-38A991D876E6}" name="Điểm /10" dataDxfId="750"/>
    <tableColumn id="7" xr3:uid="{3FDF76C2-EEC8-4119-B464-71216C9633D6}" name="Ngày hoàn thành" dataDxfId="749"/>
    <tableColumn id="8" xr3:uid="{78846FE2-5E0E-40E6-AF9B-B8439BD56812}" name="Ghi chú" dataDxfId="74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2F3739E4-AC95-4F23-AC9B-4DB7DC8B2053}" name="Tbl_C65" displayName="Tbl_C65" ref="A9:H16" totalsRowShown="0" headerRowDxfId="747" dataDxfId="746" tableBorderDxfId="745">
  <autoFilter ref="A9:H16" xr:uid="{2F3739E4-AC95-4F23-AC9B-4DB7DC8B2053}"/>
  <tableColumns count="8">
    <tableColumn id="1" xr3:uid="{FDA2E887-BDF6-4D14-93AE-65CFB7459D78}" name="STT" dataDxfId="744"/>
    <tableColumn id="2" xr3:uid="{E49A3D5E-1F4F-4FAB-B6C7-333F2B351911}" name="Module" dataDxfId="743"/>
    <tableColumn id="3" xr3:uid="{35699FFC-AEDF-40A4-92C4-96982F4720DF}" name="Số bài" dataDxfId="742"/>
    <tableColumn id="4" xr3:uid="{C5296572-711D-41C1-A664-972B0A3D2B8E}" name="Trạng thái" dataDxfId="741"/>
    <tableColumn id="5" xr3:uid="{6B5684BE-0D72-4892-BF12-66356608D059}" name="Tiến độ (%)" dataDxfId="740"/>
    <tableColumn id="6" xr3:uid="{E91F8D0C-85CA-4936-96E0-0603F9ED6008}" name="Điểm /10" dataDxfId="739"/>
    <tableColumn id="7" xr3:uid="{81AAA552-CCC0-40BC-A439-3E2F3D5B5982}" name="Ngày hoàn thành" dataDxfId="738"/>
    <tableColumn id="8" xr3:uid="{5CE7192D-4B8A-4760-9DA5-ED691A56F1FC}" name="Ghi chú" dataDxfId="737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F6EEC211-3CEA-45A1-B91E-C3710FA1961E}" name="Tbl_C64" displayName="Tbl_C64" ref="A9:H24" totalsRowShown="0" headerRowDxfId="736" dataDxfId="735" tableBorderDxfId="734">
  <autoFilter ref="A9:H24" xr:uid="{F6EEC211-3CEA-45A1-B91E-C3710FA1961E}"/>
  <tableColumns count="8">
    <tableColumn id="1" xr3:uid="{3D5B05DF-D07A-424B-9A8D-78B22EE2E00F}" name="STT" dataDxfId="733"/>
    <tableColumn id="2" xr3:uid="{C8A7CC57-15E2-4139-8337-D7B1033BACB3}" name="Module" dataDxfId="732"/>
    <tableColumn id="3" xr3:uid="{90A2B9BE-17DE-4393-88EA-485A12FE331F}" name="Số bài" dataDxfId="731"/>
    <tableColumn id="4" xr3:uid="{309147C3-6E81-4957-AD30-3F517299A11D}" name="Trạng thái" dataDxfId="730"/>
    <tableColumn id="5" xr3:uid="{575A1DC3-8E21-4FEE-B271-9CED398279A6}" name="Tiến độ (%)" dataDxfId="729"/>
    <tableColumn id="6" xr3:uid="{35AFFE77-B440-4994-8B4F-09C03145BD28}" name="Điểm /10" dataDxfId="728"/>
    <tableColumn id="7" xr3:uid="{8053F081-B19D-4E5B-BC66-B1540AAD6AE7}" name="Ngày hoàn thành" dataDxfId="727"/>
    <tableColumn id="8" xr3:uid="{FC077558-3D83-46B9-99D4-D7ACD143E6EE}" name="Ghi chú" dataDxfId="72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4F9DAC2-2817-4C92-9689-AD2C4EFD2035}" name="Tbl_C63" displayName="Tbl_C63" ref="A9:H65" totalsRowShown="0" headerRowDxfId="725" dataDxfId="724" tableBorderDxfId="723">
  <autoFilter ref="A9:H65" xr:uid="{04F9DAC2-2817-4C92-9689-AD2C4EFD2035}"/>
  <tableColumns count="8">
    <tableColumn id="1" xr3:uid="{B169F4C3-380C-4C69-91C6-04BF4F8A4FB7}" name="STT" dataDxfId="722"/>
    <tableColumn id="2" xr3:uid="{E4B12E1A-80C2-44F1-A700-4DE0A8893CC4}" name="Module" dataDxfId="721"/>
    <tableColumn id="3" xr3:uid="{BC48701F-F57B-40E7-9261-6E4C4D7E1A9F}" name="Số bài" dataDxfId="720"/>
    <tableColumn id="4" xr3:uid="{3881CC0F-91E1-4A34-BBC6-50F6240C1E66}" name="Trạng thái" dataDxfId="719"/>
    <tableColumn id="5" xr3:uid="{B9AD6365-30E6-4925-AAD0-6AC0BCA34F7F}" name="Tiến độ (%)" dataDxfId="718"/>
    <tableColumn id="6" xr3:uid="{543A1490-F336-4DF0-92FE-CAB1353A9B76}" name="Điểm /10" dataDxfId="717"/>
    <tableColumn id="7" xr3:uid="{70F6CD9D-5A19-4901-8496-C51324775E31}" name="Ngày hoàn thành" dataDxfId="716"/>
    <tableColumn id="8" xr3:uid="{66AEC059-669A-4DD8-8FC2-6C12E3771475}" name="Ghi chú" dataDxfId="7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AF512438-A65F-49DD-A572-9F7454BEFC76}" name="Tbl_C62" displayName="Tbl_C62" ref="A9:H15" totalsRowShown="0" headerRowDxfId="714" dataDxfId="713" tableBorderDxfId="712">
  <autoFilter ref="A9:H15" xr:uid="{AF512438-A65F-49DD-A572-9F7454BEFC76}"/>
  <tableColumns count="8">
    <tableColumn id="1" xr3:uid="{05FAD535-5612-4F25-BC9F-1C7B364093EC}" name="STT" dataDxfId="711"/>
    <tableColumn id="2" xr3:uid="{520C754D-81A0-4919-A397-89C064521BFB}" name="Module" dataDxfId="710"/>
    <tableColumn id="3" xr3:uid="{49D02DAA-F1DE-4CAB-AFDA-4AC919D83EBD}" name="Số bài" dataDxfId="709"/>
    <tableColumn id="4" xr3:uid="{6C5B374F-4F43-4DE3-831D-929A1A7E150F}" name="Trạng thái" dataDxfId="708"/>
    <tableColumn id="5" xr3:uid="{5F756906-9E2A-442F-98FA-FF17C47F82F8}" name="Tiến độ (%)" dataDxfId="707"/>
    <tableColumn id="6" xr3:uid="{4752A202-D268-4131-9DDC-7F9EBF2AB538}" name="Điểm /10" dataDxfId="706"/>
    <tableColumn id="7" xr3:uid="{752E85EF-1A6E-4C88-B072-476974963800}" name="Ngày hoàn thành" dataDxfId="705"/>
    <tableColumn id="8" xr3:uid="{61A56C64-6DC0-4726-AF84-A0C66ABFBCA2}" name="Ghi chú" dataDxfId="704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D55182B-043C-4708-BD72-37CA83633BB7}" name="Tbl_C61" displayName="Tbl_C61" ref="A9:H10" totalsRowShown="0" headerRowDxfId="703" dataDxfId="702" tableBorderDxfId="701">
  <autoFilter ref="A9:H10" xr:uid="{FD55182B-043C-4708-BD72-37CA83633BB7}"/>
  <tableColumns count="8">
    <tableColumn id="1" xr3:uid="{84FD3F78-085B-4090-A07A-C24A58C5CA10}" name="STT" dataDxfId="700"/>
    <tableColumn id="2" xr3:uid="{A5D44B32-D099-44B8-9E67-7F28180A256B}" name="Module" dataDxfId="699"/>
    <tableColumn id="3" xr3:uid="{E098B1E9-A57C-4FA5-957E-23C23DCCFDF7}" name="Số bài" dataDxfId="698"/>
    <tableColumn id="4" xr3:uid="{BFC4355E-C7EF-4923-A94B-8211046DC3B4}" name="Trạng thái" dataDxfId="697"/>
    <tableColumn id="5" xr3:uid="{A82803AA-3273-421E-89EF-F89808C07608}" name="Tiến độ (%)" dataDxfId="696"/>
    <tableColumn id="6" xr3:uid="{0F08DBFF-BCF2-4518-9151-20F77ECA3CFE}" name="Điểm /10" dataDxfId="695"/>
    <tableColumn id="7" xr3:uid="{B3C181A4-E496-491D-B0E8-11E6911065D5}" name="Ngày hoàn thành" dataDxfId="694"/>
    <tableColumn id="8" xr3:uid="{4BA671C5-94D0-4CAB-9EFD-3E0DA02441B4}" name="Ghi chú" dataDxfId="693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F8785168-DE72-4D2F-A063-BC39A51A3299}" name="Tbl_C60" displayName="Tbl_C60" ref="A9:H15" totalsRowShown="0" headerRowDxfId="692" dataDxfId="691" tableBorderDxfId="690">
  <autoFilter ref="A9:H15" xr:uid="{F8785168-DE72-4D2F-A063-BC39A51A3299}"/>
  <tableColumns count="8">
    <tableColumn id="1" xr3:uid="{74B09861-5E28-4D3D-82F4-D0826FB8C38D}" name="STT" dataDxfId="689"/>
    <tableColumn id="2" xr3:uid="{90F3286B-F6F0-4298-B574-0B651DB35EEB}" name="Module" dataDxfId="688"/>
    <tableColumn id="3" xr3:uid="{AF5D610A-BAB9-4A45-B24C-0D0C24D9340E}" name="Số bài" dataDxfId="687"/>
    <tableColumn id="4" xr3:uid="{B2F87F3F-3ECF-4B27-BD7E-C41DB67F2043}" name="Trạng thái" dataDxfId="686"/>
    <tableColumn id="5" xr3:uid="{08BB2A1F-4E88-4F93-A0AB-976681197B4E}" name="Tiến độ (%)" dataDxfId="685"/>
    <tableColumn id="6" xr3:uid="{B143FF8E-142B-4925-90A1-995B0FE9CD69}" name="Điểm /10" dataDxfId="684"/>
    <tableColumn id="7" xr3:uid="{B52BFC99-9ED5-402C-A5FE-4583327B3E9F}" name="Ngày hoàn thành" dataDxfId="683"/>
    <tableColumn id="8" xr3:uid="{433B3330-5D59-4164-8B77-EEBE575758D5}" name="Ghi chú" dataDxfId="682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C57F71E2-7C3B-46C9-98D8-8BF2379DE3DC}" name="Tbl_C59" displayName="Tbl_C59" ref="A9:H15" totalsRowShown="0" headerRowDxfId="681" dataDxfId="680" tableBorderDxfId="679">
  <autoFilter ref="A9:H15" xr:uid="{C57F71E2-7C3B-46C9-98D8-8BF2379DE3DC}"/>
  <tableColumns count="8">
    <tableColumn id="1" xr3:uid="{B5BC4E7B-01DE-489C-B36D-C6EAAC91E454}" name="STT" dataDxfId="678"/>
    <tableColumn id="2" xr3:uid="{BCA50A0B-F169-4977-A018-3BD32A79FAD5}" name="Module" dataDxfId="677"/>
    <tableColumn id="3" xr3:uid="{EEE1CC90-2374-4486-9454-07BE62B85D41}" name="Số bài" dataDxfId="676"/>
    <tableColumn id="4" xr3:uid="{C0154084-0938-42E0-8EB0-457B45606A95}" name="Trạng thái" dataDxfId="675"/>
    <tableColumn id="5" xr3:uid="{D12FAD3C-44E3-453E-A647-53B2D3B81045}" name="Tiến độ (%)" dataDxfId="674"/>
    <tableColumn id="6" xr3:uid="{79422DC4-5F53-4F48-94EF-8620419C0205}" name="Điểm /10" dataDxfId="673"/>
    <tableColumn id="7" xr3:uid="{5BD1A8F1-C2C3-4307-AEE3-913B6EE49C4E}" name="Ngày hoàn thành" dataDxfId="672"/>
    <tableColumn id="8" xr3:uid="{9840AAC3-7804-44D5-BD59-8A96963C7997}" name="Ghi chú" dataDxfId="671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6E29873-F110-4E7F-B228-CF805846B7FE}" name="Tbl_C58" displayName="Tbl_C58" ref="A9:H29" totalsRowShown="0" headerRowDxfId="670" dataDxfId="669" tableBorderDxfId="668">
  <autoFilter ref="A9:H29" xr:uid="{36E29873-F110-4E7F-B228-CF805846B7FE}"/>
  <tableColumns count="8">
    <tableColumn id="1" xr3:uid="{3B68A1D0-0146-4925-96AE-431C4214723A}" name="STT" dataDxfId="667"/>
    <tableColumn id="2" xr3:uid="{5564EA22-10E2-44A2-88DA-00F302F4591B}" name="Module" dataDxfId="666"/>
    <tableColumn id="3" xr3:uid="{7036DE1A-7F36-4CAC-B0CE-F1B4DF244AD8}" name="Số bài" dataDxfId="665"/>
    <tableColumn id="4" xr3:uid="{B397F579-710B-43E4-95B3-E0BD52416386}" name="Trạng thái" dataDxfId="664"/>
    <tableColumn id="5" xr3:uid="{8D3CF142-002B-4A53-83C0-610D53425A42}" name="Tiến độ (%)" dataDxfId="663"/>
    <tableColumn id="6" xr3:uid="{222977CB-CF25-4B26-8F9D-1AA4DCECFEAA}" name="Điểm /10" dataDxfId="662"/>
    <tableColumn id="7" xr3:uid="{B87644C0-55C2-484F-A216-1EF2BE3370F0}" name="Ngày hoàn thành" dataDxfId="661"/>
    <tableColumn id="8" xr3:uid="{34BA77EA-444A-461E-A323-0656D1C62A81}" name="Ghi chú" dataDxfId="660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F4B6BC0B-B93F-4AEF-96E6-5E182428CFD9}" name="Tbl_C57" displayName="Tbl_C57" ref="A9:H10" totalsRowShown="0" headerRowDxfId="659" dataDxfId="658" tableBorderDxfId="657">
  <autoFilter ref="A9:H10" xr:uid="{F4B6BC0B-B93F-4AEF-96E6-5E182428CFD9}"/>
  <tableColumns count="8">
    <tableColumn id="1" xr3:uid="{7347CB99-7351-4A93-B511-7E0C945EF019}" name="STT" dataDxfId="656"/>
    <tableColumn id="2" xr3:uid="{5FB10F14-16A9-4FE1-9E57-7E4D3594882C}" name="Module" dataDxfId="655"/>
    <tableColumn id="3" xr3:uid="{69E7A477-5DFF-4296-B270-7A3A021FCA43}" name="Số bài" dataDxfId="654"/>
    <tableColumn id="4" xr3:uid="{550FEE57-633D-4D20-85B1-D7316F8BFC65}" name="Trạng thái" dataDxfId="653"/>
    <tableColumn id="5" xr3:uid="{5A642A78-7F20-4CE2-AC79-2BA82114ED4E}" name="Tiến độ (%)" dataDxfId="652"/>
    <tableColumn id="6" xr3:uid="{94EDEFE5-6E3E-4510-A7B5-89E5AC5E8BC9}" name="Điểm /10" dataDxfId="651"/>
    <tableColumn id="7" xr3:uid="{C8F8E72F-3A9C-42BF-B361-CD8385B0D1D4}" name="Ngày hoàn thành" dataDxfId="650"/>
    <tableColumn id="8" xr3:uid="{2BD1FE01-20C1-4969-B15D-2874C4ADDACD}" name="Ghi chú" dataDxfId="649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C3A89349-BB93-433A-BA66-AFE0CCCB838A}" name="Tbl_C56" displayName="Tbl_C56" ref="A9:H10" totalsRowShown="0" headerRowDxfId="648" dataDxfId="647" tableBorderDxfId="646">
  <autoFilter ref="A9:H10" xr:uid="{C3A89349-BB93-433A-BA66-AFE0CCCB838A}"/>
  <tableColumns count="8">
    <tableColumn id="1" xr3:uid="{AE99E037-0DF5-4261-BEE1-561CBDA3A1B0}" name="STT" dataDxfId="645"/>
    <tableColumn id="2" xr3:uid="{46E64EB5-58EF-43A4-A1CF-8854D00DED23}" name="Module" dataDxfId="644"/>
    <tableColumn id="3" xr3:uid="{481E130B-3D18-402D-B7F5-1307A44762BD}" name="Số bài" dataDxfId="643"/>
    <tableColumn id="4" xr3:uid="{72FC8A0C-46AF-4682-81BD-6A780FC3DE65}" name="Trạng thái" dataDxfId="642"/>
    <tableColumn id="5" xr3:uid="{7B66EBCC-5D7D-4E81-BE43-5A72DDB7F3E8}" name="Tiến độ (%)" dataDxfId="641"/>
    <tableColumn id="6" xr3:uid="{2A0A3717-07F5-4B0B-87C5-60DD72A2769F}" name="Điểm /10" dataDxfId="640"/>
    <tableColumn id="7" xr3:uid="{D5A92426-CDAE-41AB-A7AF-FDF79EDFB609}" name="Ngày hoàn thành" dataDxfId="639"/>
    <tableColumn id="8" xr3:uid="{FECF1594-E9B8-480C-9C51-880C18D3BE19}" name="Ghi chú" dataDxfId="63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4FE797CC-2FDA-4E41-BA07-E5B68E024C85}" name="Tbl_C55" displayName="Tbl_C55" ref="A9:H17" totalsRowShown="0" headerRowDxfId="637" dataDxfId="636" tableBorderDxfId="635">
  <autoFilter ref="A9:H17" xr:uid="{4FE797CC-2FDA-4E41-BA07-E5B68E024C85}"/>
  <tableColumns count="8">
    <tableColumn id="1" xr3:uid="{69D1D63D-85A2-46C0-BD6F-0A11369CAD6B}" name="STT" dataDxfId="634"/>
    <tableColumn id="2" xr3:uid="{E95833FB-79A6-4B4F-AD2F-834D364DA988}" name="Module" dataDxfId="633"/>
    <tableColumn id="3" xr3:uid="{7C6E731B-C754-47C5-85DE-C263B099739F}" name="Số bài" dataDxfId="632"/>
    <tableColumn id="4" xr3:uid="{9D034AC5-D8E3-4584-8653-1A65000357A4}" name="Trạng thái" dataDxfId="631"/>
    <tableColumn id="5" xr3:uid="{48CD5DFE-03E7-40E6-A88D-134014D81FA7}" name="Tiến độ (%)" dataDxfId="630"/>
    <tableColumn id="6" xr3:uid="{7DEB5AA0-C312-46FD-9A6A-F0AE325B7CAE}" name="Điểm /10" dataDxfId="629"/>
    <tableColumn id="7" xr3:uid="{A59E7373-53B0-45AE-BD02-B13B4E3E1F54}" name="Ngày hoàn thành" dataDxfId="628"/>
    <tableColumn id="8" xr3:uid="{2A95CC61-2D6C-4D74-BFFF-34B82613FBA2}" name="Ghi chú" dataDxfId="627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F9747A7A-5BCA-4F99-96CB-728C6503A6E3}" name="Tbl_C54" displayName="Tbl_C54" ref="A9:H13" totalsRowShown="0" headerRowDxfId="626" dataDxfId="625" tableBorderDxfId="624">
  <autoFilter ref="A9:H13" xr:uid="{F9747A7A-5BCA-4F99-96CB-728C6503A6E3}"/>
  <tableColumns count="8">
    <tableColumn id="1" xr3:uid="{194F81CC-8172-4FCF-8799-926046E8E9E3}" name="STT" dataDxfId="623"/>
    <tableColumn id="2" xr3:uid="{2D621A84-E237-49B1-B42E-5BE898AE7893}" name="Module" dataDxfId="622"/>
    <tableColumn id="3" xr3:uid="{0E2DA996-5F2E-498D-A542-F133C4190B51}" name="Số bài" dataDxfId="621"/>
    <tableColumn id="4" xr3:uid="{8767F053-4921-4498-A37C-2FD56E03B2FB}" name="Trạng thái" dataDxfId="620"/>
    <tableColumn id="5" xr3:uid="{AB7E0AFD-FD8B-4A35-828A-A308B5B9F3CC}" name="Tiến độ (%)" dataDxfId="619"/>
    <tableColumn id="6" xr3:uid="{962DAA05-5AE5-49B5-80BF-B54C59B2008A}" name="Điểm /10" dataDxfId="618"/>
    <tableColumn id="7" xr3:uid="{330E3357-D4F1-417C-A520-3D0AEC6C33C0}" name="Ngày hoàn thành" dataDxfId="617"/>
    <tableColumn id="8" xr3:uid="{7759CDF7-5B9F-4FC8-98F7-06260B5D7271}" name="Ghi chú" dataDxfId="616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1985B3BD-CAC1-476E-AE31-17EFE691DA2F}" name="Tbl_C53" displayName="Tbl_C53" ref="A9:H15" totalsRowShown="0" headerRowDxfId="615" dataDxfId="614" tableBorderDxfId="613">
  <autoFilter ref="A9:H15" xr:uid="{1985B3BD-CAC1-476E-AE31-17EFE691DA2F}"/>
  <tableColumns count="8">
    <tableColumn id="1" xr3:uid="{C82C0F01-74C3-4419-B2BF-3D38D2303F2F}" name="STT" dataDxfId="612"/>
    <tableColumn id="2" xr3:uid="{027C6229-D2D5-4691-BB24-152DCC0D6928}" name="Module" dataDxfId="611"/>
    <tableColumn id="3" xr3:uid="{F9A012C1-B296-456B-9E72-9BCF47C0D0ED}" name="Số bài" dataDxfId="610"/>
    <tableColumn id="4" xr3:uid="{7F8AA541-677D-4976-AFE9-2121D698DA91}" name="Trạng thái" dataDxfId="609"/>
    <tableColumn id="5" xr3:uid="{1A505713-5FEF-4F76-A5B2-3CC7F41AAB04}" name="Tiến độ (%)" dataDxfId="608"/>
    <tableColumn id="6" xr3:uid="{2CF87280-F2E7-4E44-B2EE-A12231371D4B}" name="Điểm /10" dataDxfId="607"/>
    <tableColumn id="7" xr3:uid="{EEFE62FF-04A3-4DDA-B3FC-EC376683C536}" name="Ngày hoàn thành" dataDxfId="606"/>
    <tableColumn id="8" xr3:uid="{34A61091-A171-4660-ADA2-83CD885FBB97}" name="Ghi chú" dataDxfId="605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45DA08E7-1F07-413E-9F1B-68AB3FCEAC51}" name="Tbl_C52" displayName="Tbl_C52" ref="A9:H11" totalsRowShown="0" headerRowDxfId="604" dataDxfId="603" tableBorderDxfId="602">
  <autoFilter ref="A9:H11" xr:uid="{45DA08E7-1F07-413E-9F1B-68AB3FCEAC51}"/>
  <tableColumns count="8">
    <tableColumn id="1" xr3:uid="{EA646AB6-EF55-41EF-919A-6FB6E6038344}" name="STT" dataDxfId="601"/>
    <tableColumn id="2" xr3:uid="{AF11C31D-4010-44BD-A95C-3FBE4001527B}" name="Module" dataDxfId="600"/>
    <tableColumn id="3" xr3:uid="{91D06996-42A9-4E7D-8D7F-3770F8C713F6}" name="Số bài" dataDxfId="599"/>
    <tableColumn id="4" xr3:uid="{CC2AD103-096C-4789-9F02-C44BB97F358B}" name="Trạng thái" dataDxfId="598"/>
    <tableColumn id="5" xr3:uid="{94ADD109-3B87-4F20-929E-FF4F20233CD9}" name="Tiến độ (%)" dataDxfId="597"/>
    <tableColumn id="6" xr3:uid="{0B6AF9F1-A013-4335-B9F4-BAE088490AC8}" name="Điểm /10" dataDxfId="596"/>
    <tableColumn id="7" xr3:uid="{00BC3C9A-D46E-4DA0-A19E-CCEB9F786397}" name="Ngày hoàn thành" dataDxfId="595"/>
    <tableColumn id="8" xr3:uid="{D2365D28-D7E7-4DDC-9A9D-237DC0A54937}" name="Ghi chú" dataDxfId="594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5D8747A4-A045-4472-B702-818CDC7C2D91}" name="Tbl_C51" displayName="Tbl_C51" ref="A9:H16" totalsRowShown="0" headerRowDxfId="593" dataDxfId="592" tableBorderDxfId="591">
  <autoFilter ref="A9:H16" xr:uid="{5D8747A4-A045-4472-B702-818CDC7C2D91}"/>
  <tableColumns count="8">
    <tableColumn id="1" xr3:uid="{998932A0-EC8C-4BDF-A4A6-3525EAE42622}" name="STT" dataDxfId="590"/>
    <tableColumn id="2" xr3:uid="{EAAE0ABF-1D6D-4F14-817E-749F84862D11}" name="Module" dataDxfId="589"/>
    <tableColumn id="3" xr3:uid="{FAAAFEFC-5B7E-4213-A55C-5E6C1FFAF335}" name="Số bài" dataDxfId="588"/>
    <tableColumn id="4" xr3:uid="{B95F00F5-6753-4900-9B4D-1495C673A786}" name="Trạng thái" dataDxfId="587"/>
    <tableColumn id="5" xr3:uid="{3560E8DB-771F-4148-9337-CEB14180C99A}" name="Tiến độ (%)" dataDxfId="586"/>
    <tableColumn id="6" xr3:uid="{35EB11DB-74BE-470D-B097-DA5632446434}" name="Điểm /10" dataDxfId="585"/>
    <tableColumn id="7" xr3:uid="{D56AA80F-2719-4001-87DA-E8733152C397}" name="Ngày hoàn thành" dataDxfId="584"/>
    <tableColumn id="8" xr3:uid="{519EFA8E-7EBC-494F-A4DB-BED3B753BCAF}" name="Ghi chú" dataDxfId="58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3D5835DF-970E-409D-A8C4-8CC64EF4913C}" name="Tbl_C50" displayName="Tbl_C50" ref="A9:H15" totalsRowShown="0" headerRowDxfId="582" dataDxfId="581" tableBorderDxfId="580">
  <autoFilter ref="A9:H15" xr:uid="{3D5835DF-970E-409D-A8C4-8CC64EF4913C}"/>
  <tableColumns count="8">
    <tableColumn id="1" xr3:uid="{BF5BB796-8AF2-42FA-8AB6-4CB0DA57D86B}" name="STT" dataDxfId="579"/>
    <tableColumn id="2" xr3:uid="{F8E7F44B-90BD-461C-A4B2-9D2C35A12EAA}" name="Module" dataDxfId="578"/>
    <tableColumn id="3" xr3:uid="{155A822D-33B0-4A51-AE5A-D310204F5DA6}" name="Số bài" dataDxfId="577"/>
    <tableColumn id="4" xr3:uid="{30184286-DF98-4028-B36A-15CED935907A}" name="Trạng thái" dataDxfId="576"/>
    <tableColumn id="5" xr3:uid="{822B09F8-3BB7-4770-AE0D-5010343EE97D}" name="Tiến độ (%)" dataDxfId="575"/>
    <tableColumn id="6" xr3:uid="{CDA1C738-8409-466E-8100-D8B952D5E510}" name="Điểm /10" dataDxfId="574"/>
    <tableColumn id="7" xr3:uid="{D6C2719D-C1CA-4B77-A526-87BF121C3E90}" name="Ngày hoàn thành" dataDxfId="573"/>
    <tableColumn id="8" xr3:uid="{5125142B-35EC-4301-BDB1-21BC8BDB1E41}" name="Ghi chú" dataDxfId="572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5BCD04B5-499C-4BE4-943F-47592D928FE0}" name="Tbl_C49" displayName="Tbl_C49" ref="A9:H28" totalsRowShown="0" headerRowDxfId="571" dataDxfId="570" tableBorderDxfId="569">
  <autoFilter ref="A9:H28" xr:uid="{5BCD04B5-499C-4BE4-943F-47592D928FE0}"/>
  <tableColumns count="8">
    <tableColumn id="1" xr3:uid="{EBEA6578-2800-4903-A30E-85C868F02201}" name="STT" dataDxfId="568"/>
    <tableColumn id="2" xr3:uid="{F7E6487C-31C1-4580-97BA-D8EF4E5D8E15}" name="Module" dataDxfId="567"/>
    <tableColumn id="3" xr3:uid="{944D08BB-53A4-48AC-9F20-381ED877EBFA}" name="Số bài" dataDxfId="566"/>
    <tableColumn id="4" xr3:uid="{9837EBAF-995F-4CD7-B56C-CE54C6D90A79}" name="Trạng thái" dataDxfId="565"/>
    <tableColumn id="5" xr3:uid="{D034B266-5E55-4012-97FC-3B6996B7C134}" name="Tiến độ (%)" dataDxfId="564"/>
    <tableColumn id="6" xr3:uid="{426D6477-8ED7-4F00-81D0-D53DA56FA7AC}" name="Điểm /10" dataDxfId="563"/>
    <tableColumn id="7" xr3:uid="{C00FEC17-DED1-4D9D-A6F7-6E2AD9A7AA00}" name="Ngày hoàn thành" dataDxfId="562"/>
    <tableColumn id="8" xr3:uid="{3FD6AF93-C403-4BE8-9308-9845DCDE7094}" name="Ghi chú" dataDxfId="561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C830875B-FBC9-4498-B3C3-7CFD7BF1D4DB}" name="Tbl_C48" displayName="Tbl_C48" ref="A9:H21" totalsRowShown="0" headerRowDxfId="560" dataDxfId="559" tableBorderDxfId="558">
  <autoFilter ref="A9:H21" xr:uid="{C830875B-FBC9-4498-B3C3-7CFD7BF1D4DB}"/>
  <tableColumns count="8">
    <tableColumn id="1" xr3:uid="{04AB837C-F80E-42AB-9878-E99BEA88AD93}" name="STT" dataDxfId="557"/>
    <tableColumn id="2" xr3:uid="{DBB5C4CA-5E79-4DF3-9E73-6A2A7FEABB3D}" name="Module" dataDxfId="556"/>
    <tableColumn id="3" xr3:uid="{387CFCA6-667B-4453-BE85-FC668FAC18C5}" name="Số bài" dataDxfId="555"/>
    <tableColumn id="4" xr3:uid="{B67E41AA-1AB4-4D4F-89A2-D31BF6873DDE}" name="Trạng thái" dataDxfId="554"/>
    <tableColumn id="5" xr3:uid="{7EB3F0BF-514F-498B-BB82-005C9D0AC8A3}" name="Tiến độ (%)" dataDxfId="553"/>
    <tableColumn id="6" xr3:uid="{8285153B-28C1-4145-9887-E5492B4B4061}" name="Điểm /10" dataDxfId="552"/>
    <tableColumn id="7" xr3:uid="{1A9EB2C5-958C-435E-AC04-0C03DD50EB5B}" name="Ngày hoàn thành" dataDxfId="551"/>
    <tableColumn id="8" xr3:uid="{B89304C8-24DE-4F51-A133-2668F07E0EB0}" name="Ghi chú" dataDxfId="550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F862FC55-8B65-451F-85A8-C9384CC8C09D}" name="Tbl_C47" displayName="Tbl_C47" ref="A9:H13" totalsRowShown="0" headerRowDxfId="549" dataDxfId="548" tableBorderDxfId="547">
  <autoFilter ref="A9:H13" xr:uid="{F862FC55-8B65-451F-85A8-C9384CC8C09D}"/>
  <tableColumns count="8">
    <tableColumn id="1" xr3:uid="{4DE75389-FE71-4D3F-945C-23DF895D898F}" name="STT" dataDxfId="546"/>
    <tableColumn id="2" xr3:uid="{08726C1C-85DD-4CE9-AAE2-E1E2BF39647D}" name="Module" dataDxfId="545"/>
    <tableColumn id="3" xr3:uid="{B8A10226-C46B-4ECB-B2DE-AF6E16D0834A}" name="Số bài" dataDxfId="544"/>
    <tableColumn id="4" xr3:uid="{13B71B3C-E5E6-4FEF-8472-ACD730031091}" name="Trạng thái" dataDxfId="543"/>
    <tableColumn id="5" xr3:uid="{CEC7FF47-963E-4FC1-8177-4FA062DFBD44}" name="Tiến độ (%)" dataDxfId="542"/>
    <tableColumn id="6" xr3:uid="{23B4028D-0EDA-4A0B-B926-0573BA966557}" name="Điểm /10" dataDxfId="541"/>
    <tableColumn id="7" xr3:uid="{70E7C4F8-9E53-4F1F-98A2-618691CD8EC7}" name="Ngày hoàn thành" dataDxfId="540"/>
    <tableColumn id="8" xr3:uid="{376AAFE0-4EF8-4B2E-A31F-3D224F2E5DCE}" name="Ghi chú" dataDxfId="539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A3EDE7B-82AD-4008-B925-FB9CC4F3E520}" name="Tbl_C46" displayName="Tbl_C46" ref="A9:H13" totalsRowShown="0" headerRowDxfId="538" dataDxfId="537" tableBorderDxfId="536">
  <autoFilter ref="A9:H13" xr:uid="{0A3EDE7B-82AD-4008-B925-FB9CC4F3E520}"/>
  <tableColumns count="8">
    <tableColumn id="1" xr3:uid="{5115B280-9164-4B1A-9958-F5C2F814EDF6}" name="STT" dataDxfId="535"/>
    <tableColumn id="2" xr3:uid="{96B9B39E-C234-496E-857F-1758C7B07D10}" name="Module" dataDxfId="534"/>
    <tableColumn id="3" xr3:uid="{F3B8E7B8-3D24-42CE-B245-CAF8876A9774}" name="Số bài" dataDxfId="533"/>
    <tableColumn id="4" xr3:uid="{6578BB4B-E604-413A-BABA-26E043ED6E3A}" name="Trạng thái" dataDxfId="532"/>
    <tableColumn id="5" xr3:uid="{8A13DC5D-3B5C-449B-A0F7-63B52ACE4083}" name="Tiến độ (%)" dataDxfId="531"/>
    <tableColumn id="6" xr3:uid="{86CAE35B-F13B-44D9-8D7F-E668E2E9C861}" name="Điểm /10" dataDxfId="530"/>
    <tableColumn id="7" xr3:uid="{ECBD16D6-8D86-4E5D-A563-A0D791C05F88}" name="Ngày hoàn thành" dataDxfId="529"/>
    <tableColumn id="8" xr3:uid="{1E726DD2-49C4-4360-8ABB-E25C723DE62E}" name="Ghi chú" dataDxfId="528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C9C715E5-4D8C-47F1-9476-A3F5DF457C83}" name="Tbl_C45" displayName="Tbl_C45" ref="A9:H59" totalsRowShown="0" headerRowDxfId="527" dataDxfId="526" tableBorderDxfId="525">
  <autoFilter ref="A9:H59" xr:uid="{C9C715E5-4D8C-47F1-9476-A3F5DF457C83}"/>
  <tableColumns count="8">
    <tableColumn id="1" xr3:uid="{FF4DEA10-89F5-42C0-8D8F-C87B9E88B563}" name="STT" dataDxfId="524"/>
    <tableColumn id="2" xr3:uid="{BE4F4573-4040-4AFD-9BB1-EE1DAA711D42}" name="Module" dataDxfId="523"/>
    <tableColumn id="3" xr3:uid="{7318134F-FEBA-4E89-A695-CC39BCDA2D3B}" name="Số bài" dataDxfId="522"/>
    <tableColumn id="4" xr3:uid="{07717195-D49E-46C5-9198-239E11BE131E}" name="Trạng thái" dataDxfId="521"/>
    <tableColumn id="5" xr3:uid="{221132B6-6D94-4975-A47B-CAAAD33654F7}" name="Tiến độ (%)" dataDxfId="520"/>
    <tableColumn id="6" xr3:uid="{A72564F5-CBE6-4BAC-9512-49BC5A252527}" name="Điểm /10" dataDxfId="519"/>
    <tableColumn id="7" xr3:uid="{8825BFF5-9219-4CDA-81B7-A2E2807CB183}" name="Ngày hoàn thành" dataDxfId="518"/>
    <tableColumn id="8" xr3:uid="{1BA3064F-7069-4695-904A-2AA2B512A689}" name="Ghi chú" dataDxfId="517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90576993-8025-41E5-9FAD-5A2E6252DBE7}" name="Tbl_C44" displayName="Tbl_C44" ref="A9:H10" totalsRowShown="0" headerRowDxfId="516" dataDxfId="515" tableBorderDxfId="514">
  <autoFilter ref="A9:H10" xr:uid="{90576993-8025-41E5-9FAD-5A2E6252DBE7}"/>
  <tableColumns count="8">
    <tableColumn id="1" xr3:uid="{444EF84B-C625-40B4-B360-54ED39FD358D}" name="STT" dataDxfId="513"/>
    <tableColumn id="2" xr3:uid="{6DD57E9E-3623-487F-8D68-CAF874A5CB28}" name="Module" dataDxfId="512"/>
    <tableColumn id="3" xr3:uid="{7B770717-AFA3-4F63-A7E7-EE92EAF290B2}" name="Số bài" dataDxfId="511"/>
    <tableColumn id="4" xr3:uid="{51C94F98-117E-43E8-90DC-5DE5489B7B72}" name="Trạng thái" dataDxfId="510"/>
    <tableColumn id="5" xr3:uid="{903FC170-FEBA-4EC4-8B44-0DEF1FB58C98}" name="Tiến độ (%)" dataDxfId="509"/>
    <tableColumn id="6" xr3:uid="{F0F3B234-B170-43BF-9A78-9C5326D8B750}" name="Điểm /10" dataDxfId="508"/>
    <tableColumn id="7" xr3:uid="{92C0E052-F640-44DE-8634-34D2E5D9C25B}" name="Ngày hoàn thành" dataDxfId="507"/>
    <tableColumn id="8" xr3:uid="{5AC1D3A6-C29A-4D50-9F9E-34D6F7EA602A}" name="Ghi chú" dataDxfId="506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D7BD3D6C-70FC-4A63-81B3-E1AB64E9D79F}" name="Tbl_C43" displayName="Tbl_C43" ref="A9:H10" totalsRowShown="0" headerRowDxfId="505" dataDxfId="504" tableBorderDxfId="503">
  <autoFilter ref="A9:H10" xr:uid="{D7BD3D6C-70FC-4A63-81B3-E1AB64E9D79F}"/>
  <tableColumns count="8">
    <tableColumn id="1" xr3:uid="{58BA40B8-4A35-426F-B1B8-AC4BF6ED5828}" name="STT" dataDxfId="502"/>
    <tableColumn id="2" xr3:uid="{A52331C9-EDEF-4CAD-BA9B-0C3D2EBD6AE0}" name="Module" dataDxfId="501"/>
    <tableColumn id="3" xr3:uid="{B91B6CD0-3909-4350-BC96-383948B15783}" name="Số bài" dataDxfId="500"/>
    <tableColumn id="4" xr3:uid="{D649658D-1F5D-4023-AF43-B4B0A5485D59}" name="Trạng thái" dataDxfId="499"/>
    <tableColumn id="5" xr3:uid="{455810CF-CA71-4BB9-A411-A00661A9FE8B}" name="Tiến độ (%)" dataDxfId="498"/>
    <tableColumn id="6" xr3:uid="{47BCB21B-20F1-45C8-8675-FAB07E399A4D}" name="Điểm /10" dataDxfId="497"/>
    <tableColumn id="7" xr3:uid="{CB4E5CB9-667A-4371-89DF-F13117A576AD}" name="Ngày hoàn thành" dataDxfId="496"/>
    <tableColumn id="8" xr3:uid="{A7182601-5F36-4419-8E84-049D59154353}" name="Ghi chú" dataDxfId="495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83C3C526-DB58-4D78-B936-FB6B60DDB865}" name="Tbl_C42" displayName="Tbl_C42" ref="A9:H18" totalsRowShown="0" headerRowDxfId="494" dataDxfId="493" tableBorderDxfId="492">
  <autoFilter ref="A9:H18" xr:uid="{83C3C526-DB58-4D78-B936-FB6B60DDB865}"/>
  <tableColumns count="8">
    <tableColumn id="1" xr3:uid="{202C1AD4-427B-4B58-AE25-2DC607DC6E20}" name="STT" dataDxfId="491"/>
    <tableColumn id="2" xr3:uid="{C9C53A45-B0FC-45B2-95BD-181CE6F6395B}" name="Module" dataDxfId="490"/>
    <tableColumn id="3" xr3:uid="{2A1F4D19-A3C7-477C-B957-3D21B194ECEF}" name="Số bài" dataDxfId="489"/>
    <tableColumn id="4" xr3:uid="{E708398C-057A-4EB9-BA31-7379F7D2045F}" name="Trạng thái" dataDxfId="488"/>
    <tableColumn id="5" xr3:uid="{301D2D2C-5E2D-495B-B99A-7BC23E021DEA}" name="Tiến độ (%)" dataDxfId="487"/>
    <tableColumn id="6" xr3:uid="{80D041E0-1477-4294-A71E-BE1C11FA7CB7}" name="Điểm /10" dataDxfId="486"/>
    <tableColumn id="7" xr3:uid="{0DBCB0CC-F0C2-453A-B7E2-46EF183FE95A}" name="Ngày hoàn thành" dataDxfId="485"/>
    <tableColumn id="8" xr3:uid="{52715FF4-D841-4561-9E86-38E32E540FC0}" name="Ghi chú" dataDxfId="48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D559A10B-7887-4C62-A8F0-66B277F6349E}" name="Tbl_C41" displayName="Tbl_C41" ref="A9:H10" totalsRowShown="0" headerRowDxfId="483" dataDxfId="482" tableBorderDxfId="481">
  <autoFilter ref="A9:H10" xr:uid="{D559A10B-7887-4C62-A8F0-66B277F6349E}"/>
  <tableColumns count="8">
    <tableColumn id="1" xr3:uid="{1BCAD6BA-223B-4B50-9903-563C0885DFE2}" name="STT" dataDxfId="480"/>
    <tableColumn id="2" xr3:uid="{39F7CC79-0DED-4219-904C-811AD5AA8D2B}" name="Module" dataDxfId="479"/>
    <tableColumn id="3" xr3:uid="{A960F9AA-A3C2-46CF-A1EE-6B857F003108}" name="Số bài" dataDxfId="478"/>
    <tableColumn id="4" xr3:uid="{5341F6D6-F30B-4FC0-BF98-8888941FCB22}" name="Trạng thái" dataDxfId="477"/>
    <tableColumn id="5" xr3:uid="{9AE45F79-6D02-4A35-A2C6-157E073A0468}" name="Tiến độ (%)" dataDxfId="476"/>
    <tableColumn id="6" xr3:uid="{5836C6C3-69A6-41BF-AF34-45CC8B3C4279}" name="Điểm /10" dataDxfId="475"/>
    <tableColumn id="7" xr3:uid="{12B2C491-D42B-41BC-93A2-44C6B5E3226F}" name="Ngày hoàn thành" dataDxfId="474"/>
    <tableColumn id="8" xr3:uid="{060DC2A8-AC66-46A3-A1D6-F06E44F80056}" name="Ghi chú" dataDxfId="473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106E39C2-CCC3-45A5-A0B8-9331DFD31E9D}" name="Tbl_C40" displayName="Tbl_C40" ref="A9:H10" totalsRowShown="0" headerRowDxfId="472" dataDxfId="471" tableBorderDxfId="470">
  <autoFilter ref="A9:H10" xr:uid="{106E39C2-CCC3-45A5-A0B8-9331DFD31E9D}"/>
  <tableColumns count="8">
    <tableColumn id="1" xr3:uid="{77E54334-2558-4572-AB0C-4FAFA3F68CA6}" name="STT" dataDxfId="469"/>
    <tableColumn id="2" xr3:uid="{C109CAC5-5268-4F16-AF53-4BC6147F5412}" name="Module" dataDxfId="468"/>
    <tableColumn id="3" xr3:uid="{E517A6AA-8B00-478B-8BB9-B7FA8FE5975A}" name="Số bài" dataDxfId="467"/>
    <tableColumn id="4" xr3:uid="{7D3C59EE-45C8-4BA2-92D3-F40CF7A338AB}" name="Trạng thái" dataDxfId="466"/>
    <tableColumn id="5" xr3:uid="{257D8251-F923-4518-B2BB-79631C227013}" name="Tiến độ (%)" dataDxfId="465"/>
    <tableColumn id="6" xr3:uid="{9F1C36EF-42AD-4167-A42C-D9D4C4935B79}" name="Điểm /10" dataDxfId="464"/>
    <tableColumn id="7" xr3:uid="{688FB3A3-F0AE-4FF1-A990-4A3CE38E9F61}" name="Ngày hoàn thành" dataDxfId="463"/>
    <tableColumn id="8" xr3:uid="{D3BFE545-1230-475C-A193-D1DB4BCE55DC}" name="Ghi chú" dataDxfId="462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FFAA5762-7615-4D53-B6BE-1DFB57C59911}" name="Tbl_C39" displayName="Tbl_C39" ref="A9:H10" totalsRowShown="0" headerRowDxfId="461" dataDxfId="460" tableBorderDxfId="459">
  <autoFilter ref="A9:H10" xr:uid="{FFAA5762-7615-4D53-B6BE-1DFB57C59911}"/>
  <tableColumns count="8">
    <tableColumn id="1" xr3:uid="{6DACF0B8-ECC8-4EB4-8907-F8A14A7B9CDD}" name="STT" dataDxfId="458"/>
    <tableColumn id="2" xr3:uid="{0E263A8B-E46C-48BC-9CEE-05B463DBEF27}" name="Module" dataDxfId="457"/>
    <tableColumn id="3" xr3:uid="{1974082B-9AFF-48BC-B7FA-111479FEEE6F}" name="Số bài" dataDxfId="456"/>
    <tableColumn id="4" xr3:uid="{CA94B814-18E1-49F9-99C2-69D2CA4AD4A3}" name="Trạng thái" dataDxfId="455"/>
    <tableColumn id="5" xr3:uid="{F21354F0-9998-41D0-AAC4-A20B6C431EDF}" name="Tiến độ (%)" dataDxfId="454"/>
    <tableColumn id="6" xr3:uid="{363F6B9F-4409-4182-BCF0-EA8A1C0CD1C5}" name="Điểm /10" dataDxfId="453"/>
    <tableColumn id="7" xr3:uid="{49BEC3E3-F9EF-4190-BB6D-B8E93F169FF2}" name="Ngày hoàn thành" dataDxfId="452"/>
    <tableColumn id="8" xr3:uid="{13AA094F-F278-4FC3-9235-CF3CFAF095BD}" name="Ghi chú" dataDxfId="451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EEACCF8A-DEB2-4BD8-A88F-CA234EC9D9ED}" name="Tbl_C38" displayName="Tbl_C38" ref="A9:H23" totalsRowShown="0" headerRowDxfId="450" dataDxfId="449" tableBorderDxfId="448">
  <autoFilter ref="A9:H23" xr:uid="{EEACCF8A-DEB2-4BD8-A88F-CA234EC9D9ED}"/>
  <tableColumns count="8">
    <tableColumn id="1" xr3:uid="{570D5BC7-EFD5-4884-B263-94BE6AD70FB4}" name="STT" dataDxfId="447"/>
    <tableColumn id="2" xr3:uid="{A88241BA-F206-47C9-BEBA-22117CBD4348}" name="Module" dataDxfId="446"/>
    <tableColumn id="3" xr3:uid="{1424F178-D2AF-4F0A-AA65-2A7EEE8C7013}" name="Số bài" dataDxfId="445"/>
    <tableColumn id="4" xr3:uid="{FA439D67-4B2C-46EC-887F-28FFC79564CD}" name="Trạng thái" dataDxfId="444"/>
    <tableColumn id="5" xr3:uid="{0D577DCD-16FE-4C8E-A240-25AC5BC230D0}" name="Tiến độ (%)" dataDxfId="443"/>
    <tableColumn id="6" xr3:uid="{A5C7F6A7-B6DB-4640-9391-8B802319F0E7}" name="Điểm /10" dataDxfId="442"/>
    <tableColumn id="7" xr3:uid="{18442AEF-5EDF-4F48-93A5-0D7389F529C0}" name="Ngày hoàn thành" dataDxfId="441"/>
    <tableColumn id="8" xr3:uid="{BABD4532-55C9-46B1-AFA9-7CFA54868AA5}" name="Ghi chú" dataDxfId="440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3C6B25B8-17C3-4B33-8A17-195B97A40AD0}" name="Tbl_C37" displayName="Tbl_C37" ref="A9:H10" totalsRowShown="0" headerRowDxfId="439" dataDxfId="438" tableBorderDxfId="437">
  <autoFilter ref="A9:H10" xr:uid="{3C6B25B8-17C3-4B33-8A17-195B97A40AD0}"/>
  <tableColumns count="8">
    <tableColumn id="1" xr3:uid="{0918AFD0-99D0-4D67-BD3F-448072597B80}" name="STT" dataDxfId="436"/>
    <tableColumn id="2" xr3:uid="{F29CCD30-04AA-44C9-BD33-52A88F701330}" name="Module" dataDxfId="435"/>
    <tableColumn id="3" xr3:uid="{2064509A-824A-4488-A7A3-E16E588838AB}" name="Số bài" dataDxfId="434"/>
    <tableColumn id="4" xr3:uid="{22A9CA1A-2B92-4DA5-A2F9-A690D0C21CB5}" name="Trạng thái" dataDxfId="433"/>
    <tableColumn id="5" xr3:uid="{76E268DA-B435-4C33-9485-98A73FC91E03}" name="Tiến độ (%)" dataDxfId="432"/>
    <tableColumn id="6" xr3:uid="{C6A05805-F453-4D09-9D6A-BE309E971F86}" name="Điểm /10" dataDxfId="431"/>
    <tableColumn id="7" xr3:uid="{F92DC19D-0977-4351-B7D9-300179E9839B}" name="Ngày hoàn thành" dataDxfId="430"/>
    <tableColumn id="8" xr3:uid="{AB5DB22C-57FF-47C5-B3EB-DD8A1F29EC3E}" name="Ghi chú" dataDxfId="429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DCB037A-F990-4063-A51E-F8E627D2B50C}" name="Tbl_C36" displayName="Tbl_C36" ref="A9:H19" totalsRowShown="0" headerRowDxfId="428" dataDxfId="427" tableBorderDxfId="426">
  <autoFilter ref="A9:H19" xr:uid="{6DCB037A-F990-4063-A51E-F8E627D2B50C}"/>
  <tableColumns count="8">
    <tableColumn id="1" xr3:uid="{964CDADF-EE43-49B8-9B73-E433AF2379E4}" name="STT" dataDxfId="425"/>
    <tableColumn id="2" xr3:uid="{9740A9C2-4695-425B-9E98-CE7D1B48FC3A}" name="Module" dataDxfId="424"/>
    <tableColumn id="3" xr3:uid="{05951E8E-AC5A-4BED-A2D6-48ED7D2E8277}" name="Số bài" dataDxfId="423"/>
    <tableColumn id="4" xr3:uid="{FDA74E8C-B001-47CC-BF33-40115005C60C}" name="Trạng thái" dataDxfId="422"/>
    <tableColumn id="5" xr3:uid="{ABFA3941-40AB-4CBB-9F2F-B206E40472B6}" name="Tiến độ (%)" dataDxfId="421"/>
    <tableColumn id="6" xr3:uid="{9099CF64-2236-4A97-8566-F239920ABC65}" name="Điểm /10" dataDxfId="420"/>
    <tableColumn id="7" xr3:uid="{5D8AA993-0E58-4BEE-804B-C56F53BBFFB9}" name="Ngày hoàn thành" dataDxfId="419"/>
    <tableColumn id="8" xr3:uid="{ACEAB5E5-EE87-4083-805A-168770D43488}" name="Ghi chú" dataDxfId="418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18A78D24-59C9-4FCA-9C80-C18BBF93E5F7}" name="Tbl_C35" displayName="Tbl_C35" ref="A9:H18" totalsRowShown="0" headerRowDxfId="417" dataDxfId="416" tableBorderDxfId="415">
  <autoFilter ref="A9:H18" xr:uid="{18A78D24-59C9-4FCA-9C80-C18BBF93E5F7}"/>
  <tableColumns count="8">
    <tableColumn id="1" xr3:uid="{F157F863-F873-4D72-8314-9382EDA11D71}" name="STT" dataDxfId="414"/>
    <tableColumn id="2" xr3:uid="{44AB6B4F-D5A3-43F9-8E51-2970E7EA7E9B}" name="Module" dataDxfId="413"/>
    <tableColumn id="3" xr3:uid="{4DE7B94E-ADD7-4737-B7AB-BC7F188245E4}" name="Số bài" dataDxfId="412"/>
    <tableColumn id="4" xr3:uid="{D6539874-66F9-434D-B276-84B1CAB78AB9}" name="Trạng thái" dataDxfId="411"/>
    <tableColumn id="5" xr3:uid="{CB3705B9-F692-4568-931E-B840A3A75EAF}" name="Tiến độ (%)" dataDxfId="410"/>
    <tableColumn id="6" xr3:uid="{C2AE39AE-5A95-45B3-9FEE-CF4D51B048AD}" name="Điểm /10" dataDxfId="409"/>
    <tableColumn id="7" xr3:uid="{14EAD1F7-C0FF-4E41-9700-D1D161C44B54}" name="Ngày hoàn thành" dataDxfId="408"/>
    <tableColumn id="8" xr3:uid="{784765AC-8127-4E64-91DD-CE1CD0C8F5FD}" name="Ghi chú" dataDxfId="407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75AF3C4-6C88-4792-90D8-3E634B58C445}" name="Tbl_C34" displayName="Tbl_C34" ref="A9:H10" totalsRowShown="0" headerRowDxfId="406" dataDxfId="405" tableBorderDxfId="404">
  <autoFilter ref="A9:H10" xr:uid="{075AF3C4-6C88-4792-90D8-3E634B58C445}"/>
  <tableColumns count="8">
    <tableColumn id="1" xr3:uid="{7D17D485-93F3-4074-A5D2-F6F03399CF2B}" name="STT" dataDxfId="403"/>
    <tableColumn id="2" xr3:uid="{3E6F2705-7D59-4226-A491-98DD281F4568}" name="Module" dataDxfId="402"/>
    <tableColumn id="3" xr3:uid="{6048C863-6DFB-4E00-AA91-D8F2F8CF14E5}" name="Số bài" dataDxfId="401"/>
    <tableColumn id="4" xr3:uid="{590FDDEB-8A68-4949-9E86-99D7349C69AB}" name="Trạng thái" dataDxfId="400"/>
    <tableColumn id="5" xr3:uid="{A2EC90DB-35C8-477F-A42D-3E6C17F9A65F}" name="Tiến độ (%)" dataDxfId="399"/>
    <tableColumn id="6" xr3:uid="{A469DB1C-2C86-4753-B538-CF2060524883}" name="Điểm /10" dataDxfId="398"/>
    <tableColumn id="7" xr3:uid="{51F017B4-1F2F-41F9-8801-90133A786AA1}" name="Ngày hoàn thành" dataDxfId="397"/>
    <tableColumn id="8" xr3:uid="{0576DB95-B0BF-4AEC-89AA-BD13425B87DE}" name="Ghi chú" dataDxfId="396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17294A55-3F9D-47F8-BF53-A95E61802D28}" name="Tbl_C33" displayName="Tbl_C33" ref="A9:H10" totalsRowShown="0" headerRowDxfId="395" dataDxfId="394" tableBorderDxfId="393">
  <autoFilter ref="A9:H10" xr:uid="{17294A55-3F9D-47F8-BF53-A95E61802D28}"/>
  <tableColumns count="8">
    <tableColumn id="1" xr3:uid="{EADCE1D8-0BDB-4018-A213-1CEBC48644E1}" name="STT" dataDxfId="392"/>
    <tableColumn id="2" xr3:uid="{0B38BFD2-A739-4436-84B1-F12D3EFB2B6A}" name="Module" dataDxfId="391"/>
    <tableColumn id="3" xr3:uid="{42FBD678-999A-4E27-9839-29769936EB11}" name="Số bài" dataDxfId="390"/>
    <tableColumn id="4" xr3:uid="{285D5739-5C26-40DA-8E3B-6956D0FD424B}" name="Trạng thái" dataDxfId="389"/>
    <tableColumn id="5" xr3:uid="{8DCAF51E-F9BF-45C6-B01C-40792F69567C}" name="Tiến độ (%)" dataDxfId="388"/>
    <tableColumn id="6" xr3:uid="{ED755C61-8359-44FC-A14A-BB65DA46E700}" name="Điểm /10" dataDxfId="387"/>
    <tableColumn id="7" xr3:uid="{DED7A939-164E-4D2E-9725-FA11F99B828C}" name="Ngày hoàn thành" dataDxfId="386"/>
    <tableColumn id="8" xr3:uid="{2D12B85B-8AE8-4A1B-A10C-48F83F547385}" name="Ghi chú" dataDxfId="385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17A6B402-25F9-4939-A2DE-EB0D42FCBFB2}" name="Tbl_C32" displayName="Tbl_C32" ref="A9:H10" totalsRowShown="0" headerRowDxfId="384" dataDxfId="383" tableBorderDxfId="382">
  <autoFilter ref="A9:H10" xr:uid="{17A6B402-25F9-4939-A2DE-EB0D42FCBFB2}"/>
  <tableColumns count="8">
    <tableColumn id="1" xr3:uid="{2751643A-78B9-4741-BF9C-4A450CF1FE7E}" name="STT" dataDxfId="381"/>
    <tableColumn id="2" xr3:uid="{888874D7-F752-45E1-90DA-1E5F00A137C0}" name="Module" dataDxfId="380"/>
    <tableColumn id="3" xr3:uid="{F8AF003A-6439-46A5-BAF9-8FEEF43B8089}" name="Số bài" dataDxfId="379"/>
    <tableColumn id="4" xr3:uid="{E30144FF-A3E9-48DB-86A3-545168A1C036}" name="Trạng thái" dataDxfId="378"/>
    <tableColumn id="5" xr3:uid="{2C0B6E06-65AE-426C-8D1F-23799BBB28AF}" name="Tiến độ (%)" dataDxfId="377"/>
    <tableColumn id="6" xr3:uid="{1A277380-5A8D-4D97-B491-7989B7890ABD}" name="Điểm /10" dataDxfId="376"/>
    <tableColumn id="7" xr3:uid="{D2EC3E2C-6DF9-4DB9-9CB4-8610269B045A}" name="Ngày hoàn thành" dataDxfId="375"/>
    <tableColumn id="8" xr3:uid="{38AFDEB7-87BF-4BA8-806E-03D98C9E2615}" name="Ghi chú" dataDxfId="374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708ECD2D-3CA0-4BE2-93E7-9D575CFA1335}" name="Tbl_C31" displayName="Tbl_C31" ref="A9:H11" totalsRowShown="0" headerRowDxfId="373" dataDxfId="372" tableBorderDxfId="371">
  <autoFilter ref="A9:H11" xr:uid="{708ECD2D-3CA0-4BE2-93E7-9D575CFA1335}"/>
  <tableColumns count="8">
    <tableColumn id="1" xr3:uid="{B1127CA4-FEFB-4069-80C0-4BFF79F8C716}" name="STT" dataDxfId="370"/>
    <tableColumn id="2" xr3:uid="{472A44F8-490B-482D-8E0D-B336677B6533}" name="Module" dataDxfId="369"/>
    <tableColumn id="3" xr3:uid="{459F347B-B92F-4898-BF97-44AD5B9ACCF4}" name="Số bài" dataDxfId="368"/>
    <tableColumn id="4" xr3:uid="{B9C8B28D-21B7-4B7C-B177-5AEC0C87E977}" name="Trạng thái" dataDxfId="367"/>
    <tableColumn id="5" xr3:uid="{36E2F0A3-F0B5-4F9D-9944-701B6D5B3527}" name="Tiến độ (%)" dataDxfId="366"/>
    <tableColumn id="6" xr3:uid="{8C7945AB-F2D4-4994-86DE-E2833CCADF3C}" name="Điểm /10" dataDxfId="365"/>
    <tableColumn id="7" xr3:uid="{64AC9DB4-60F4-4345-8F86-6AC5BE23F633}" name="Ngày hoàn thành" dataDxfId="364"/>
    <tableColumn id="8" xr3:uid="{6D1508D2-387F-43DB-A707-155AA329AD5B}" name="Ghi chú" dataDxfId="363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EE20A28C-4864-4E23-BEDF-277148C3FA00}" name="Tbl_C30" displayName="Tbl_C30" ref="A9:H17" totalsRowShown="0" headerRowDxfId="362" dataDxfId="361" tableBorderDxfId="360">
  <autoFilter ref="A9:H17" xr:uid="{EE20A28C-4864-4E23-BEDF-277148C3FA00}"/>
  <tableColumns count="8">
    <tableColumn id="1" xr3:uid="{6B7F8D0E-20CE-4E65-BBAC-56321D3B33F7}" name="STT" dataDxfId="359"/>
    <tableColumn id="2" xr3:uid="{04C0F78C-2D28-41C4-B008-51224AEF601A}" name="Module" dataDxfId="358"/>
    <tableColumn id="3" xr3:uid="{25A5AAAF-7EAD-4045-A3C7-62F559F82CF9}" name="Số bài" dataDxfId="357"/>
    <tableColumn id="4" xr3:uid="{C335038F-D89F-47A8-B216-6DD966153F8D}" name="Trạng thái" dataDxfId="356"/>
    <tableColumn id="5" xr3:uid="{2C6BD427-23DB-45FB-8E2B-BCF72CCDE200}" name="Tiến độ (%)" dataDxfId="355"/>
    <tableColumn id="6" xr3:uid="{CCB9ACC7-E066-442A-8E15-2B341834EFF7}" name="Điểm /10" dataDxfId="354"/>
    <tableColumn id="7" xr3:uid="{8DF71F69-4154-4C2F-9C33-A6836016A9B2}" name="Ngày hoàn thành" dataDxfId="353"/>
    <tableColumn id="8" xr3:uid="{B077DE3F-9ABB-4141-9D6F-38DA5A71FC8E}" name="Ghi chú" dataDxfId="352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5F2E9699-3866-43DE-A3D4-9D8F337DFDB4}" name="Tbl_C29" displayName="Tbl_C29" ref="A9:H10" totalsRowShown="0" headerRowDxfId="351" dataDxfId="350" tableBorderDxfId="349">
  <autoFilter ref="A9:H10" xr:uid="{5F2E9699-3866-43DE-A3D4-9D8F337DFDB4}"/>
  <tableColumns count="8">
    <tableColumn id="1" xr3:uid="{E5B5350A-2414-4F71-B5D2-FB02427E245B}" name="STT" dataDxfId="348"/>
    <tableColumn id="2" xr3:uid="{A85B2371-5AB2-4313-8589-532A749D2356}" name="Module" dataDxfId="347"/>
    <tableColumn id="3" xr3:uid="{022CC391-685C-4333-9A8E-EF7FB0950929}" name="Số bài" dataDxfId="346"/>
    <tableColumn id="4" xr3:uid="{5B52CBF1-EAB8-4AB3-B4CF-1026E4B2E37A}" name="Trạng thái" dataDxfId="345"/>
    <tableColumn id="5" xr3:uid="{1149B95F-5002-41FA-AC43-0318DB2BE73D}" name="Tiến độ (%)" dataDxfId="344"/>
    <tableColumn id="6" xr3:uid="{9F7BDBA7-18F4-426C-B3E5-60B3DA5AAE6B}" name="Điểm /10" dataDxfId="343"/>
    <tableColumn id="7" xr3:uid="{E801613C-7A9F-4ED1-A3DF-AF9D6FD9BD1D}" name="Ngày hoàn thành" dataDxfId="342"/>
    <tableColumn id="8" xr3:uid="{DFFE9DAC-F2F4-4750-9E40-4B7CA0E35F8F}" name="Ghi chú" dataDxfId="341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603E231-5EF2-4405-BDF5-B3753D92F1E9}" name="Tbl_C28" displayName="Tbl_C28" ref="A9:H10" totalsRowShown="0" headerRowDxfId="340" dataDxfId="339" tableBorderDxfId="338">
  <autoFilter ref="A9:H10" xr:uid="{9603E231-5EF2-4405-BDF5-B3753D92F1E9}"/>
  <tableColumns count="8">
    <tableColumn id="1" xr3:uid="{F487CE46-4611-4202-8C2D-49F4CDADF298}" name="STT" dataDxfId="337"/>
    <tableColumn id="2" xr3:uid="{B5AD8B0A-0DAC-4E75-9AAE-1043E0200D19}" name="Module" dataDxfId="336"/>
    <tableColumn id="3" xr3:uid="{D9F38A7D-D30B-477C-9468-0FB2541C02AE}" name="Số bài" dataDxfId="335"/>
    <tableColumn id="4" xr3:uid="{2F04ECE6-3ED1-485E-8DE1-EA5E1745F5B6}" name="Trạng thái" dataDxfId="334"/>
    <tableColumn id="5" xr3:uid="{0075C794-D29A-426A-ABF5-E63624C0284C}" name="Tiến độ (%)" dataDxfId="333"/>
    <tableColumn id="6" xr3:uid="{9E7772D8-C938-4AFC-8188-D80A14A875E1}" name="Điểm /10" dataDxfId="332"/>
    <tableColumn id="7" xr3:uid="{D4A1BF2D-5166-4DAA-9B05-CEB800926EB5}" name="Ngày hoàn thành" dataDxfId="331"/>
    <tableColumn id="8" xr3:uid="{8E73636B-BC07-4366-AC63-CA36DE2FB432}" name="Ghi chú" dataDxfId="330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5E35ADA0-E721-4E2F-82AD-07D802062163}" name="Tbl_C27" displayName="Tbl_C27" ref="A9:H16" totalsRowShown="0" headerRowDxfId="329" dataDxfId="328" tableBorderDxfId="327">
  <autoFilter ref="A9:H16" xr:uid="{5E35ADA0-E721-4E2F-82AD-07D802062163}"/>
  <tableColumns count="8">
    <tableColumn id="1" xr3:uid="{64ACD959-7EE1-4208-AFD4-2D4F3DB5F8A0}" name="STT" dataDxfId="326"/>
    <tableColumn id="2" xr3:uid="{C8CF34A8-7865-48C7-9447-7B7A1E9B98F5}" name="Module" dataDxfId="325"/>
    <tableColumn id="3" xr3:uid="{51247AE5-B8EC-438B-A114-B0392A40E1F2}" name="Số bài" dataDxfId="324"/>
    <tableColumn id="4" xr3:uid="{087D6482-55AC-4841-98CF-792AE2FA345F}" name="Trạng thái" dataDxfId="323"/>
    <tableColumn id="5" xr3:uid="{AAF6032F-7D42-4DCE-90AC-B8523522AFC9}" name="Tiến độ (%)" dataDxfId="322"/>
    <tableColumn id="6" xr3:uid="{9E192057-62B2-42F0-B144-8458A380C620}" name="Điểm /10" dataDxfId="321"/>
    <tableColumn id="7" xr3:uid="{D5352B7C-BDC7-4C30-A57F-BC830AB141EC}" name="Ngày hoàn thành" dataDxfId="320"/>
    <tableColumn id="8" xr3:uid="{74A02A85-55AB-443B-9EC4-2661F8122C84}" name="Ghi chú" dataDxfId="319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CF46FBD6-BC35-4BC6-8B2C-2B71F65A3411}" name="Tbl_C26" displayName="Tbl_C26" ref="A9:H10" totalsRowShown="0" headerRowDxfId="318" dataDxfId="317" tableBorderDxfId="316">
  <autoFilter ref="A9:H10" xr:uid="{CF46FBD6-BC35-4BC6-8B2C-2B71F65A3411}"/>
  <tableColumns count="8">
    <tableColumn id="1" xr3:uid="{72E86F70-7A2A-4409-945D-DA7CB9A36F8A}" name="STT" dataDxfId="315"/>
    <tableColumn id="2" xr3:uid="{F593E6B0-6A9D-4252-B88B-D55972345906}" name="Module" dataDxfId="314"/>
    <tableColumn id="3" xr3:uid="{32600AE5-7CC3-4FB4-9EA1-565AA9941762}" name="Số bài" dataDxfId="313"/>
    <tableColumn id="4" xr3:uid="{4F2F96AC-DBA7-49EC-ADA1-1AF8526D5E18}" name="Trạng thái" dataDxfId="312"/>
    <tableColumn id="5" xr3:uid="{2850D39C-1DB1-427A-8B7D-1F5D915FCE2E}" name="Tiến độ (%)" dataDxfId="311"/>
    <tableColumn id="6" xr3:uid="{ACB8ACB6-C62B-4D0C-B313-BD7E86AA6222}" name="Điểm /10" dataDxfId="310"/>
    <tableColumn id="7" xr3:uid="{4A03A56E-B559-4630-A132-9431AA32AC18}" name="Ngày hoàn thành" dataDxfId="309"/>
    <tableColumn id="8" xr3:uid="{82185128-18B4-41E1-ABED-D386AE80B826}" name="Ghi chú" dataDxfId="308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59EADD38-3FE6-4523-A870-A1084E72E98D}" name="Tbl_C25" displayName="Tbl_C25" ref="A9:H24" totalsRowShown="0" headerRowDxfId="307" dataDxfId="306" tableBorderDxfId="305">
  <autoFilter ref="A9:H24" xr:uid="{59EADD38-3FE6-4523-A870-A1084E72E98D}"/>
  <tableColumns count="8">
    <tableColumn id="1" xr3:uid="{EFBE7844-A6D7-4CCB-8FEC-46147F6379E6}" name="STT" dataDxfId="304"/>
    <tableColumn id="2" xr3:uid="{EBA39BC4-329C-46FE-8B86-7A815908FCD8}" name="Module" dataDxfId="303"/>
    <tableColumn id="3" xr3:uid="{ACCF5482-CEB2-49DB-862C-131B9021B7A8}" name="Số bài" dataDxfId="302"/>
    <tableColumn id="4" xr3:uid="{AC49B536-2D9D-443C-915A-1CBEA8518936}" name="Trạng thái" dataDxfId="301"/>
    <tableColumn id="5" xr3:uid="{4E7D170C-BAF8-4E3E-813E-C3207CED5781}" name="Tiến độ (%)" dataDxfId="300"/>
    <tableColumn id="6" xr3:uid="{9C1813EF-E256-4D95-8098-722D582CC35F}" name="Điểm /10" dataDxfId="299"/>
    <tableColumn id="7" xr3:uid="{312B5D50-D72C-4C44-AEA9-FB1082E79A2F}" name="Ngày hoàn thành" dataDxfId="298"/>
    <tableColumn id="8" xr3:uid="{E2530078-6443-4417-AD72-6DEDFFD06D47}" name="Ghi chú" dataDxfId="297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EC87745-D371-4C66-8B4F-46459956AA1D}" name="Tbl_C24" displayName="Tbl_C24" ref="A9:H31" totalsRowShown="0" headerRowDxfId="296" dataDxfId="295" tableBorderDxfId="294">
  <autoFilter ref="A9:H31" xr:uid="{6EC87745-D371-4C66-8B4F-46459956AA1D}"/>
  <tableColumns count="8">
    <tableColumn id="1" xr3:uid="{61026791-75F1-4842-B1E5-F07AECFADA04}" name="STT" dataDxfId="293"/>
    <tableColumn id="2" xr3:uid="{E262AA51-1697-44FD-8E46-F551E0C69E0A}" name="Module" dataDxfId="292"/>
    <tableColumn id="3" xr3:uid="{92B2AC6E-3C5C-4B09-94B4-F39A09672D16}" name="Số bài" dataDxfId="291"/>
    <tableColumn id="4" xr3:uid="{76EEE919-A41F-4CCE-B83E-065FA2932461}" name="Trạng thái" dataDxfId="290"/>
    <tableColumn id="5" xr3:uid="{91787DF4-B9ED-4C6C-86BB-7E8B0C164AEF}" name="Tiến độ (%)" dataDxfId="289"/>
    <tableColumn id="6" xr3:uid="{6E787E5A-387F-44B9-84F5-94C35665ACFA}" name="Điểm /10" dataDxfId="288"/>
    <tableColumn id="7" xr3:uid="{445C28F8-92B8-48FB-85F9-F5FBAC59B8AC}" name="Ngày hoàn thành" dataDxfId="287"/>
    <tableColumn id="8" xr3:uid="{7582B991-2032-4D26-82B4-DCF540CD7C2B}" name="Ghi chú" dataDxfId="286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EDE7DA86-031D-432C-9478-C97893BE99C9}" name="Tbl_C23" displayName="Tbl_C23" ref="A9:H10" totalsRowShown="0" headerRowDxfId="285" dataDxfId="284" tableBorderDxfId="283">
  <autoFilter ref="A9:H10" xr:uid="{EDE7DA86-031D-432C-9478-C97893BE99C9}"/>
  <tableColumns count="8">
    <tableColumn id="1" xr3:uid="{F93BECD4-85E4-4CFA-9A5D-F5035212FFBD}" name="STT" dataDxfId="282"/>
    <tableColumn id="2" xr3:uid="{2DB19A76-E59F-411A-B9A8-A92EBF9A349C}" name="Module" dataDxfId="281"/>
    <tableColumn id="3" xr3:uid="{BE066994-B980-4E02-91CE-85326DA55E1D}" name="Số bài" dataDxfId="280"/>
    <tableColumn id="4" xr3:uid="{7C48CE1A-7D2B-4890-A8DA-9A7875BC2333}" name="Trạng thái" dataDxfId="279"/>
    <tableColumn id="5" xr3:uid="{8C481B0A-10F9-4784-A7E5-413C58252AC2}" name="Tiến độ (%)" dataDxfId="278"/>
    <tableColumn id="6" xr3:uid="{1B22D2BC-85C7-4519-AAFB-331C75E4AFAE}" name="Điểm /10" dataDxfId="277"/>
    <tableColumn id="7" xr3:uid="{5F87C967-E561-40BB-8771-AAC76B4978CC}" name="Ngày hoàn thành" dataDxfId="276"/>
    <tableColumn id="8" xr3:uid="{EC155E29-143C-4F0E-A70C-F83876A2D128}" name="Ghi chú" dataDxfId="275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FAE5DFB-B5CE-4EE8-9116-271EE37172CC}" name="Tbl_C22" displayName="Tbl_C22" ref="A9:H10" totalsRowShown="0" headerRowDxfId="274" dataDxfId="273" tableBorderDxfId="272">
  <autoFilter ref="A9:H10" xr:uid="{9FAE5DFB-B5CE-4EE8-9116-271EE37172CC}"/>
  <tableColumns count="8">
    <tableColumn id="1" xr3:uid="{E1CDEBE7-7B2F-41C4-B732-054E9EBAFFAC}" name="STT" dataDxfId="271"/>
    <tableColumn id="2" xr3:uid="{BDFB84E2-EF81-4970-81A3-4EF1E37C6986}" name="Module" dataDxfId="270"/>
    <tableColumn id="3" xr3:uid="{775C04DA-6557-45AB-BD32-A1F31755D412}" name="Số bài" dataDxfId="269"/>
    <tableColumn id="4" xr3:uid="{8DE8D57C-584E-4337-B562-000AFF6A558C}" name="Trạng thái" dataDxfId="268"/>
    <tableColumn id="5" xr3:uid="{0089A45C-AF8A-4DC2-AD66-87BAF7E095D1}" name="Tiến độ (%)" dataDxfId="267"/>
    <tableColumn id="6" xr3:uid="{E712AA63-E713-4DA7-BA69-6B775584D7BD}" name="Điểm /10" dataDxfId="266"/>
    <tableColumn id="7" xr3:uid="{5D32031A-709B-4CA0-82BF-9F187BE511EC}" name="Ngày hoàn thành" dataDxfId="265"/>
    <tableColumn id="8" xr3:uid="{9A44D122-196D-4D7B-AEAE-E430E9E0B245}" name="Ghi chú" dataDxfId="264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029F852-9BDE-46F4-B28C-B8DB26E40126}" name="Tbl_C21" displayName="Tbl_C21" ref="A9:H45" totalsRowShown="0" headerRowDxfId="263" dataDxfId="262" tableBorderDxfId="261">
  <autoFilter ref="A9:H45" xr:uid="{B029F852-9BDE-46F4-B28C-B8DB26E40126}"/>
  <tableColumns count="8">
    <tableColumn id="1" xr3:uid="{E5B1C83D-3E06-4E9E-BA87-45B1816108A8}" name="STT" dataDxfId="260"/>
    <tableColumn id="2" xr3:uid="{EBA4902C-CBC1-4CFF-B640-3647C3F1802A}" name="Module" dataDxfId="259"/>
    <tableColumn id="3" xr3:uid="{2133D08A-E8E6-4913-BBBC-294066530650}" name="Số bài" dataDxfId="258"/>
    <tableColumn id="4" xr3:uid="{B5ABDB07-7EA5-4550-BD13-3CDEB544587F}" name="Trạng thái" dataDxfId="257"/>
    <tableColumn id="5" xr3:uid="{361A73F5-5E95-4573-9CA4-3D7AC29B7016}" name="Tiến độ (%)" dataDxfId="256"/>
    <tableColumn id="6" xr3:uid="{1A86C920-E1C5-4640-9364-640A36147188}" name="Điểm /10" dataDxfId="255"/>
    <tableColumn id="7" xr3:uid="{DD4802CB-063E-40D9-8065-1447FD327DD9}" name="Ngày hoàn thành" dataDxfId="254"/>
    <tableColumn id="8" xr3:uid="{B809EAB4-0E4A-4D32-92D7-5966128A54E0}" name="Ghi chú" dataDxfId="253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CFD8CB-4E61-431E-9143-F45A4997E2A2}" name="Tbl_C20" displayName="Tbl_C20" ref="A9:H10" totalsRowShown="0" headerRowDxfId="252" dataDxfId="251" tableBorderDxfId="250">
  <autoFilter ref="A9:H10" xr:uid="{00CFD8CB-4E61-431E-9143-F45A4997E2A2}"/>
  <tableColumns count="8">
    <tableColumn id="1" xr3:uid="{2AA42CE8-1220-4EBD-987A-AC0126CFBF82}" name="STT" dataDxfId="249"/>
    <tableColumn id="2" xr3:uid="{3F45FD7C-ED8E-4AAC-815B-900D138ECF0C}" name="Module" dataDxfId="248"/>
    <tableColumn id="3" xr3:uid="{8188E8ED-6205-4534-ADC9-176277D56827}" name="Số bài" dataDxfId="247"/>
    <tableColumn id="4" xr3:uid="{2AF0E201-FF20-40D6-8059-D688392FBFEB}" name="Trạng thái" dataDxfId="246"/>
    <tableColumn id="5" xr3:uid="{BBD66E10-8809-4686-B1C6-2AE0323991D7}" name="Tiến độ (%)" dataDxfId="245"/>
    <tableColumn id="6" xr3:uid="{1F71267A-97CD-43FB-AC6B-D924B74980B7}" name="Điểm /10" dataDxfId="244"/>
    <tableColumn id="7" xr3:uid="{8F2404F8-39C2-4DD3-8EAD-053E5DA98C27}" name="Ngày hoàn thành" dataDxfId="243"/>
    <tableColumn id="8" xr3:uid="{32964745-D274-462A-B65D-738AAC721377}" name="Ghi chú" dataDxfId="242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6329D04-76BE-460A-9918-08C1A0E7A084}" name="Tbl_C19" displayName="Tbl_C19" ref="A9:H10" totalsRowShown="0" headerRowDxfId="241" dataDxfId="240" tableBorderDxfId="239">
  <autoFilter ref="A9:H10" xr:uid="{56329D04-76BE-460A-9918-08C1A0E7A084}"/>
  <tableColumns count="8">
    <tableColumn id="1" xr3:uid="{0161DD15-5758-4229-A683-C7413C316F87}" name="STT" dataDxfId="238"/>
    <tableColumn id="2" xr3:uid="{09C98C77-66B8-4487-A0CA-D96B11B4FA3E}" name="Module" dataDxfId="237"/>
    <tableColumn id="3" xr3:uid="{2E49F24A-8C4F-441A-95B6-F31D42AB8307}" name="Số bài" dataDxfId="236"/>
    <tableColumn id="4" xr3:uid="{5B218D64-6FE8-47A0-996E-1D5680270D32}" name="Trạng thái" dataDxfId="235"/>
    <tableColumn id="5" xr3:uid="{95DFFD21-DF79-455F-A6BA-666A37632E3C}" name="Tiến độ (%)" dataDxfId="234"/>
    <tableColumn id="6" xr3:uid="{F653179E-7130-4C07-8012-63401EF3518C}" name="Điểm /10" dataDxfId="233"/>
    <tableColumn id="7" xr3:uid="{7E4EEBF4-D940-401E-B889-6BEAD008B410}" name="Ngày hoàn thành" dataDxfId="232"/>
    <tableColumn id="8" xr3:uid="{C474A9F4-326E-4E6F-8AB2-A0CA0A0116AA}" name="Ghi chú" dataDxfId="231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DA8033F2-719A-44B5-B2A0-E459B865A4FE}" name="Tbl_C18" displayName="Tbl_C18" ref="A9:H11" totalsRowShown="0" headerRowDxfId="230" dataDxfId="229" tableBorderDxfId="228">
  <autoFilter ref="A9:H11" xr:uid="{DA8033F2-719A-44B5-B2A0-E459B865A4FE}"/>
  <tableColumns count="8">
    <tableColumn id="1" xr3:uid="{2616AF43-F6C0-47FE-BB37-A56F8C68AEF5}" name="STT" dataDxfId="227"/>
    <tableColumn id="2" xr3:uid="{72860B17-F7ED-43EE-A45C-9584C2CAC98C}" name="Module" dataDxfId="226"/>
    <tableColumn id="3" xr3:uid="{9DCC51EB-9135-40EA-92FE-F1FF7B18F055}" name="Số bài" dataDxfId="225"/>
    <tableColumn id="4" xr3:uid="{19C36640-7041-4285-81D2-D787E7A27F19}" name="Trạng thái" dataDxfId="224"/>
    <tableColumn id="5" xr3:uid="{5D256D20-E88E-4381-8997-DD3101972EB8}" name="Tiến độ (%)" dataDxfId="223"/>
    <tableColumn id="6" xr3:uid="{7A56EF0E-3230-4C85-8F7E-0C730FDD4775}" name="Điểm /10" dataDxfId="222"/>
    <tableColumn id="7" xr3:uid="{CF2C7EA3-42DD-427A-9970-30A620155970}" name="Ngày hoàn thành" dataDxfId="221"/>
    <tableColumn id="8" xr3:uid="{C33018D2-3A09-49B9-BF0F-E67BC6416A6E}" name="Ghi chú" dataDxfId="220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B4B640E-5787-46BC-8886-E278811E2E55}" name="Tbl_C17" displayName="Tbl_C17" ref="A9:H15" totalsRowShown="0" headerRowDxfId="219" dataDxfId="218" tableBorderDxfId="217">
  <autoFilter ref="A9:H15" xr:uid="{CB4B640E-5787-46BC-8886-E278811E2E55}"/>
  <tableColumns count="8">
    <tableColumn id="1" xr3:uid="{2E647F55-CE96-497D-BEB4-53AB943711C8}" name="STT" dataDxfId="216"/>
    <tableColumn id="2" xr3:uid="{12FB5926-A257-4F26-86E2-0478562CC96F}" name="Module" dataDxfId="215"/>
    <tableColumn id="3" xr3:uid="{8D965D8D-A9AC-4F13-BBA7-5717C53231BA}" name="Số bài" dataDxfId="214"/>
    <tableColumn id="4" xr3:uid="{EDF7D9E8-052F-428E-B7AF-E9F3BB866C0B}" name="Trạng thái" dataDxfId="213"/>
    <tableColumn id="5" xr3:uid="{DCD646D3-135C-4486-A40D-22610C5DBA85}" name="Tiến độ (%)" dataDxfId="212"/>
    <tableColumn id="6" xr3:uid="{6F476180-D4DE-4559-B3EE-9D4771D8FBAB}" name="Điểm /10" dataDxfId="211"/>
    <tableColumn id="7" xr3:uid="{76215C49-3CF8-4EB8-AF98-AA0A6DFE18B3}" name="Ngày hoàn thành" dataDxfId="210"/>
    <tableColumn id="8" xr3:uid="{69FDEC97-8FB1-4C7C-A87E-892D1B61A508}" name="Ghi chú" dataDxfId="209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B4B78D04-C33E-486F-893B-07217DFCC4C3}" name="Tbl_C16" displayName="Tbl_C16" ref="A9:H21" totalsRowShown="0" headerRowDxfId="208" dataDxfId="207" tableBorderDxfId="206">
  <autoFilter ref="A9:H21" xr:uid="{B4B78D04-C33E-486F-893B-07217DFCC4C3}"/>
  <tableColumns count="8">
    <tableColumn id="1" xr3:uid="{FD72544A-144A-4EAD-AAF8-7B1E8FFE00C1}" name="STT" dataDxfId="205"/>
    <tableColumn id="2" xr3:uid="{C616D0FD-583B-48C4-BE6B-B78263B808E4}" name="Module" dataDxfId="204"/>
    <tableColumn id="3" xr3:uid="{05D5875D-5E4A-4C61-9E7D-BE6F8BE507F4}" name="Số bài" dataDxfId="203"/>
    <tableColumn id="4" xr3:uid="{4DC74895-E9EA-446D-A8E1-E03B47D7DFB8}" name="Trạng thái" dataDxfId="202"/>
    <tableColumn id="5" xr3:uid="{6727BB32-3C86-4077-9628-F403ACA5F049}" name="Tiến độ (%)" dataDxfId="201"/>
    <tableColumn id="6" xr3:uid="{6CC4B577-8C3D-476E-B6E1-460FFE534F78}" name="Điểm /10" dataDxfId="200"/>
    <tableColumn id="7" xr3:uid="{4AF59D8B-B7FA-4259-B2D4-D65FD65BA0C8}" name="Ngày hoàn thành" dataDxfId="199"/>
    <tableColumn id="8" xr3:uid="{529E60EB-993C-4D5F-B5C2-0AC565949FA6}" name="Ghi chú" dataDxfId="198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D66CA0D-E956-44AA-A5DD-CE1658C03629}" name="Tbl_C15" displayName="Tbl_C15" ref="A9:H12" totalsRowShown="0" headerRowDxfId="197" dataDxfId="196" tableBorderDxfId="195">
  <autoFilter ref="A9:H12" xr:uid="{AD66CA0D-E956-44AA-A5DD-CE1658C03629}"/>
  <tableColumns count="8">
    <tableColumn id="1" xr3:uid="{F10A3B76-F04B-40F4-B32C-FAFAE6745D5D}" name="STT" dataDxfId="194"/>
    <tableColumn id="2" xr3:uid="{001D6EC0-8D2E-44BF-87A3-C6EB053256D3}" name="Module" dataDxfId="193"/>
    <tableColumn id="3" xr3:uid="{F22FB0E7-AEE7-4F5D-B82D-B308DCBAA980}" name="Số bài" dataDxfId="192"/>
    <tableColumn id="4" xr3:uid="{2F126AF7-088F-49AF-9369-BDA8F04B6DB6}" name="Trạng thái" dataDxfId="191"/>
    <tableColumn id="5" xr3:uid="{F9335A2C-6520-4DBE-8145-083304A11B27}" name="Tiến độ (%)" dataDxfId="190"/>
    <tableColumn id="6" xr3:uid="{7C13B267-1F3F-4237-A07A-9619B1488371}" name="Điểm /10" dataDxfId="189"/>
    <tableColumn id="7" xr3:uid="{B349252F-5F3D-45E5-8077-5AFEEF424E75}" name="Ngày hoàn thành" dataDxfId="188"/>
    <tableColumn id="8" xr3:uid="{D9274959-8615-4B4E-9BE4-E76560DFF014}" name="Ghi chú" dataDxfId="187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F71DBF0-1CD8-4C02-B27D-6F72BE36CD03}" name="Tbl_C14" displayName="Tbl_C14" ref="A9:H22" totalsRowShown="0" headerRowDxfId="186" dataDxfId="185" tableBorderDxfId="184">
  <autoFilter ref="A9:H22" xr:uid="{6F71DBF0-1CD8-4C02-B27D-6F72BE36CD03}"/>
  <tableColumns count="8">
    <tableColumn id="1" xr3:uid="{D2D1CBF7-7085-4CF7-903E-7101DB965BA9}" name="STT" dataDxfId="183"/>
    <tableColumn id="2" xr3:uid="{2A5FC44D-B72D-436B-BD01-5CBB8BA97A6A}" name="Module" dataDxfId="182"/>
    <tableColumn id="3" xr3:uid="{D6033812-2C27-435E-910C-E3CB829D0398}" name="Số bài" dataDxfId="181"/>
    <tableColumn id="4" xr3:uid="{2F91934A-2127-43DA-9EB9-B08776804FB7}" name="Trạng thái" dataDxfId="180"/>
    <tableColumn id="5" xr3:uid="{FC2B8125-9C82-4D85-B219-8EB038DF042B}" name="Tiến độ (%)" dataDxfId="179"/>
    <tableColumn id="6" xr3:uid="{851F0990-20DA-4E43-9D6A-7610FDD22FA7}" name="Điểm /10" dataDxfId="178"/>
    <tableColumn id="7" xr3:uid="{53CBD20E-A81D-41CA-97B7-164A3171A5AA}" name="Ngày hoàn thành" dataDxfId="177"/>
    <tableColumn id="8" xr3:uid="{F3ED8E09-BE76-454D-930E-E65605344C24}" name="Ghi chú" dataDxfId="176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45AF523-532C-4E16-A4E0-8F224FE8DB3A}" name="Tbl_C13" displayName="Tbl_C13" ref="A9:H22" totalsRowShown="0" headerRowDxfId="175" dataDxfId="174" tableBorderDxfId="173">
  <autoFilter ref="A9:H22" xr:uid="{845AF523-532C-4E16-A4E0-8F224FE8DB3A}"/>
  <tableColumns count="8">
    <tableColumn id="1" xr3:uid="{13B83C43-58B2-49B4-B23E-4E8C119EE27A}" name="STT" dataDxfId="172"/>
    <tableColumn id="2" xr3:uid="{A234CCB3-09A4-4879-87EB-324632E18F3B}" name="Module" dataDxfId="171"/>
    <tableColumn id="3" xr3:uid="{F6D95548-A211-4472-BBF2-D99589A4500C}" name="Số bài" dataDxfId="170"/>
    <tableColumn id="4" xr3:uid="{370351AC-35DC-4A6D-B50D-43D84709ED8A}" name="Trạng thái" dataDxfId="169"/>
    <tableColumn id="5" xr3:uid="{380E71E6-E4E6-450A-A0CD-90B7B3D64995}" name="Tiến độ (%)" dataDxfId="168"/>
    <tableColumn id="6" xr3:uid="{5AD011A7-0D5E-48FF-8B21-11BAB17BF2ED}" name="Điểm /10" dataDxfId="167"/>
    <tableColumn id="7" xr3:uid="{BF77C8C9-5A17-4625-96C7-3F0977369304}" name="Ngày hoàn thành" dataDxfId="166"/>
    <tableColumn id="8" xr3:uid="{D6DECE49-75B2-4A01-BEB2-32026D94ADAC}" name="Ghi chú" dataDxfId="165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4D61B42-4631-4E9D-84B4-C21B4396460F}" name="Tbl_C12" displayName="Tbl_C12" ref="A9:H25" totalsRowShown="0" headerRowDxfId="164" dataDxfId="163" tableBorderDxfId="162">
  <autoFilter ref="A9:H25" xr:uid="{44D61B42-4631-4E9D-84B4-C21B4396460F}"/>
  <tableColumns count="8">
    <tableColumn id="1" xr3:uid="{333B91A6-59AB-48A2-A8E1-D1D4618D62F4}" name="STT" dataDxfId="161"/>
    <tableColumn id="2" xr3:uid="{7F5BAAFB-0D18-444C-90A4-41C933616108}" name="Module" dataDxfId="160"/>
    <tableColumn id="3" xr3:uid="{029FE1AE-D6B2-4DF1-AE8A-83B0C7B96729}" name="Số bài" dataDxfId="159"/>
    <tableColumn id="4" xr3:uid="{75AE8B4C-6979-4228-AE6F-C920F57399C6}" name="Trạng thái" dataDxfId="158"/>
    <tableColumn id="5" xr3:uid="{F94D1E08-F60D-4F4F-B58F-6A6B8C12C36D}" name="Tiến độ (%)" dataDxfId="157"/>
    <tableColumn id="6" xr3:uid="{1C40FA40-BB28-4117-95F9-0456EB4B9A53}" name="Điểm /10" dataDxfId="156"/>
    <tableColumn id="7" xr3:uid="{3EDC73BE-D9AC-4722-89E4-D5C84EA512C9}" name="Ngày hoàn thành" dataDxfId="155"/>
    <tableColumn id="8" xr3:uid="{78D7F36C-C185-4B6D-8E78-11D7E7B6B2E1}" name="Ghi chú" dataDxfId="154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D004521-E94B-4758-9D62-704114EEDE25}" name="Tbl_C11" displayName="Tbl_C11" ref="A9:H10" totalsRowShown="0" headerRowDxfId="153" dataDxfId="152" tableBorderDxfId="151">
  <autoFilter ref="A9:H10" xr:uid="{DD004521-E94B-4758-9D62-704114EEDE25}"/>
  <tableColumns count="8">
    <tableColumn id="1" xr3:uid="{C3838787-7A7E-475A-B220-A8148ADF403D}" name="STT" dataDxfId="150"/>
    <tableColumn id="2" xr3:uid="{1092483D-1539-4BA6-9C36-5B21D310B9A4}" name="Module" dataDxfId="149"/>
    <tableColumn id="3" xr3:uid="{63BAA130-C57C-43E0-BFEC-376586AB9C47}" name="Số bài" dataDxfId="148"/>
    <tableColumn id="4" xr3:uid="{39969C97-8AAA-45BE-BD9A-05BE4105BA7A}" name="Trạng thái" dataDxfId="147"/>
    <tableColumn id="5" xr3:uid="{950174F7-3ABF-449E-9131-EBF8DE7DD395}" name="Tiến độ (%)" dataDxfId="146"/>
    <tableColumn id="6" xr3:uid="{3029A176-5C84-41AD-800A-AB4A15FB27F8}" name="Điểm /10" dataDxfId="145"/>
    <tableColumn id="7" xr3:uid="{2D35B5DF-FFCA-46B3-B929-24D025767D84}" name="Ngày hoàn thành" dataDxfId="144"/>
    <tableColumn id="8" xr3:uid="{2A54CF77-6EED-4A82-B9C3-A7181D35A6EC}" name="Ghi chú" dataDxfId="143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B2A8FF8-9DBB-4CD3-B586-9996A401F95E}" name="Tbl_C10" displayName="Tbl_C10" ref="A9:H19" totalsRowShown="0" headerRowDxfId="142" dataDxfId="141" tableBorderDxfId="140">
  <autoFilter ref="A9:H19" xr:uid="{4B2A8FF8-9DBB-4CD3-B586-9996A401F95E}"/>
  <tableColumns count="8">
    <tableColumn id="1" xr3:uid="{C3DE9FAB-6A05-45B9-811E-84267E26E2A1}" name="STT" dataDxfId="139"/>
    <tableColumn id="2" xr3:uid="{01C4A4C1-77BB-4CEC-9785-FB5FE76BBA5C}" name="Module" dataDxfId="138"/>
    <tableColumn id="3" xr3:uid="{23CA1654-2B0E-46D7-B56B-F96310917134}" name="Số bài" dataDxfId="137"/>
    <tableColumn id="4" xr3:uid="{8AA4733A-580E-401C-9363-6C4321F3582F}" name="Trạng thái" dataDxfId="136"/>
    <tableColumn id="5" xr3:uid="{799868F5-DD1D-49E0-8A8C-9F30CA0E4D75}" name="Tiến độ (%)" dataDxfId="135"/>
    <tableColumn id="6" xr3:uid="{D7C2B14F-9EE8-4D1B-8BC7-A4390C0D86E6}" name="Điểm /10" dataDxfId="134"/>
    <tableColumn id="7" xr3:uid="{2372B505-5616-4175-9387-E1AE68A4C2EB}" name="Ngày hoàn thành" dataDxfId="133"/>
    <tableColumn id="8" xr3:uid="{C119560C-1B8B-47B2-8AB5-4E0B14683643}" name="Ghi chú" dataDxfId="13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D9B13FE-B99B-4939-8213-93843386AE50}" name="Tbl_C09" displayName="Tbl_C09" ref="A9:H10" totalsRowShown="0" headerRowDxfId="131" dataDxfId="130" tableBorderDxfId="129">
  <autoFilter ref="A9:H10" xr:uid="{3D9B13FE-B99B-4939-8213-93843386AE50}"/>
  <tableColumns count="8">
    <tableColumn id="1" xr3:uid="{A38E2FF0-5C53-4B3C-8A87-3A4C72E3E2EA}" name="STT" dataDxfId="128"/>
    <tableColumn id="2" xr3:uid="{944F8399-BC66-4DC2-A3B8-FA7A70E465D6}" name="Module" dataDxfId="127"/>
    <tableColumn id="3" xr3:uid="{B9846A69-6C4F-47AA-B9AB-35F447681609}" name="Số bài" dataDxfId="126"/>
    <tableColumn id="4" xr3:uid="{40D534AE-BA3F-4D8E-8E11-BF42BFB5D800}" name="Trạng thái" dataDxfId="125"/>
    <tableColumn id="5" xr3:uid="{3625AC5B-0541-438A-BC0C-933CAD2A1A08}" name="Tiến độ (%)" dataDxfId="124"/>
    <tableColumn id="6" xr3:uid="{6FAE0B14-D4DF-490A-88C0-8190B7511E7D}" name="Điểm /10" dataDxfId="123"/>
    <tableColumn id="7" xr3:uid="{51DA882D-DD89-4C93-BD81-46A2EEED0806}" name="Ngày hoàn thành" dataDxfId="122"/>
    <tableColumn id="8" xr3:uid="{8B477062-6267-43E9-B976-0967C1F3B7C8}" name="Ghi chú" dataDxfId="121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7CC6BF5-FBE8-4B90-924C-44CF27543BBD}" name="Tbl_C08" displayName="Tbl_C08" ref="A9:H10" totalsRowShown="0" headerRowDxfId="120" dataDxfId="119" tableBorderDxfId="118">
  <autoFilter ref="A9:H10" xr:uid="{A7CC6BF5-FBE8-4B90-924C-44CF27543BBD}"/>
  <tableColumns count="8">
    <tableColumn id="1" xr3:uid="{729214B1-65F9-4F97-8312-CB0F3330898B}" name="STT" dataDxfId="117"/>
    <tableColumn id="2" xr3:uid="{AF4293C6-D2D6-44EC-B5C9-20CD64CDDB1D}" name="Module" dataDxfId="116"/>
    <tableColumn id="3" xr3:uid="{5AEBA2B9-3BB7-485E-962E-33C4AF5B6C42}" name="Số bài" dataDxfId="115"/>
    <tableColumn id="4" xr3:uid="{FF7BB7CB-5D50-44EE-B9D0-33FFDDCA7FA0}" name="Trạng thái" dataDxfId="114"/>
    <tableColumn id="5" xr3:uid="{53889E7F-FF33-4148-B4CB-714AF5652510}" name="Tiến độ (%)" dataDxfId="113"/>
    <tableColumn id="6" xr3:uid="{86FBAA5B-3928-4917-8070-B0E65E81A633}" name="Điểm /10" dataDxfId="112"/>
    <tableColumn id="7" xr3:uid="{749647B7-D272-475A-A91B-D1286FF7BBB5}" name="Ngày hoàn thành" dataDxfId="111"/>
    <tableColumn id="8" xr3:uid="{D2C04F25-90A7-42AD-A005-F70D175BE2EE}" name="Ghi chú" dataDxfId="110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18D81D-84A2-4BC4-BE37-AA133FD20C26}" name="Tbl_C07" displayName="Tbl_C07" ref="A9:H11" totalsRowShown="0" headerRowDxfId="109" dataDxfId="108" tableBorderDxfId="107">
  <autoFilter ref="A9:H11" xr:uid="{F318D81D-84A2-4BC4-BE37-AA133FD20C26}"/>
  <tableColumns count="8">
    <tableColumn id="1" xr3:uid="{0A276793-C4A0-4D41-B78F-09A4AF9904CA}" name="STT" dataDxfId="106"/>
    <tableColumn id="2" xr3:uid="{45C53A5D-968F-4E22-B39D-E3938D195795}" name="Module" dataDxfId="105"/>
    <tableColumn id="3" xr3:uid="{6DB3CB07-875C-4C1E-A374-3DB04421AD98}" name="Số bài" dataDxfId="104"/>
    <tableColumn id="4" xr3:uid="{AFD2DA83-4CFE-4E25-82FE-E8DC36AFC356}" name="Trạng thái" dataDxfId="103"/>
    <tableColumn id="5" xr3:uid="{29076FE9-1508-4B0D-BFFE-B042CB3FEDC8}" name="Tiến độ (%)" dataDxfId="102"/>
    <tableColumn id="6" xr3:uid="{073DFB38-29EC-4F92-8C85-8A67FEC80411}" name="Điểm /10" dataDxfId="101"/>
    <tableColumn id="7" xr3:uid="{DB167288-EEDE-4EAA-BCED-DC7E0E4DB30F}" name="Ngày hoàn thành" dataDxfId="100"/>
    <tableColumn id="8" xr3:uid="{F4951F5D-EA2C-4EBF-B9EB-8CC9B38E1AD7}" name="Ghi chú" dataDxfId="99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2958089-2A07-4B17-8EA6-293BA971D51B}" name="Tbl_C06" displayName="Tbl_C06" ref="A9:H10" totalsRowShown="0" headerRowDxfId="98" dataDxfId="97" tableBorderDxfId="96">
  <autoFilter ref="A9:H10" xr:uid="{22958089-2A07-4B17-8EA6-293BA971D51B}"/>
  <tableColumns count="8">
    <tableColumn id="1" xr3:uid="{EF7C5A63-137B-4454-B65B-5B1DE57DCC07}" name="STT" dataDxfId="95"/>
    <tableColumn id="2" xr3:uid="{0EC28DA6-79EF-4DD9-8D2C-B24853E9D88B}" name="Module" dataDxfId="94"/>
    <tableColumn id="3" xr3:uid="{FB87FD13-245F-48D1-9B55-CBEC9EACFEB1}" name="Số bài" dataDxfId="93"/>
    <tableColumn id="4" xr3:uid="{BEEBA235-63DB-4C0F-B5B9-E2D582E71973}" name="Trạng thái" dataDxfId="92"/>
    <tableColumn id="5" xr3:uid="{06F1931F-73B3-411B-B7AC-BA625F7EB9C7}" name="Tiến độ (%)" dataDxfId="91"/>
    <tableColumn id="6" xr3:uid="{808A9DCF-2CBF-4F8A-97A4-80E555B87605}" name="Điểm /10" dataDxfId="90"/>
    <tableColumn id="7" xr3:uid="{0204A468-884B-4DD3-9B2B-337F8F9FF395}" name="Ngày hoàn thành" dataDxfId="89"/>
    <tableColumn id="8" xr3:uid="{EFFF3820-4135-4CD7-92AB-2690A75AF6DB}" name="Ghi chú" dataDxfId="88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8AA1925-D471-4FEF-AB6F-337A2DE7AF05}" name="Tbl_C05" displayName="Tbl_C05" ref="A9:H38" totalsRowShown="0" headerRowDxfId="87" dataDxfId="86" tableBorderDxfId="85">
  <autoFilter ref="A9:H38" xr:uid="{E8AA1925-D471-4FEF-AB6F-337A2DE7AF05}"/>
  <tableColumns count="8">
    <tableColumn id="1" xr3:uid="{737DFB59-F02E-44F0-93C9-906FBE6F6D9F}" name="STT" dataDxfId="84"/>
    <tableColumn id="2" xr3:uid="{5E03DD73-DE00-4945-B7D6-1792291B9AAD}" name="Module" dataDxfId="83"/>
    <tableColumn id="3" xr3:uid="{5FBF3DEA-5CD8-4149-BF9C-E4A9E9873523}" name="Số bài" dataDxfId="82"/>
    <tableColumn id="4" xr3:uid="{21410386-EFE2-4C7B-974B-A53CE8A7C35F}" name="Trạng thái" dataDxfId="81"/>
    <tableColumn id="5" xr3:uid="{12095638-F952-4E23-8DA9-D5791559B20B}" name="Tiến độ (%)" dataDxfId="80"/>
    <tableColumn id="6" xr3:uid="{BDBD856E-7CAE-4EC1-8B05-DDD67F287F06}" name="Điểm /10" dataDxfId="79"/>
    <tableColumn id="7" xr3:uid="{A415721F-1308-447B-865D-228AD81F68E3}" name="Ngày hoàn thành" dataDxfId="78"/>
    <tableColumn id="8" xr3:uid="{00B65E64-3393-4431-9455-00ADC1BFDE02}" name="Ghi chú" dataDxfId="77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D2E693-BC6A-4E0A-B73E-024FDBC3E5AB}" name="Tbl_C04" displayName="Tbl_C04" ref="A9:H18" totalsRowShown="0" headerRowDxfId="76" dataDxfId="75" tableBorderDxfId="74">
  <autoFilter ref="A9:H18" xr:uid="{66D2E693-BC6A-4E0A-B73E-024FDBC3E5AB}"/>
  <tableColumns count="8">
    <tableColumn id="1" xr3:uid="{A99CAA13-BA72-41D4-B088-DC0606117CFD}" name="STT" dataDxfId="73"/>
    <tableColumn id="2" xr3:uid="{DA49C64B-5BE6-4F7C-A75A-298186B131D8}" name="Module" dataDxfId="72"/>
    <tableColumn id="3" xr3:uid="{BCF3DB6E-E3D2-4F94-B81D-18D15464BC4B}" name="Số bài" dataDxfId="71"/>
    <tableColumn id="4" xr3:uid="{6AC30920-BF4D-4991-BF6E-C889B9C74302}" name="Trạng thái" dataDxfId="70"/>
    <tableColumn id="5" xr3:uid="{C9F5DC8F-5D27-4BA4-BFCD-7ECC0F83BAA2}" name="Tiến độ (%)" dataDxfId="69"/>
    <tableColumn id="6" xr3:uid="{450923A1-C98C-4340-8CFE-A64643EDB8AF}" name="Điểm /10" dataDxfId="68"/>
    <tableColumn id="7" xr3:uid="{FF61F9A9-91EB-42CE-8EE3-32812EFF0162}" name="Ngày hoàn thành" dataDxfId="67"/>
    <tableColumn id="8" xr3:uid="{F1AAC6CA-1F99-4C6B-B803-E69357AA84B3}" name="Ghi chú" dataDxfId="66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7D504D-9EFC-4D93-AD2A-CDDF8B9E0A66}" name="Tbl_C03" displayName="Tbl_C03" ref="A9:H37" totalsRowShown="0" headerRowDxfId="65" dataDxfId="64" tableBorderDxfId="63">
  <autoFilter ref="A9:H37" xr:uid="{477D504D-9EFC-4D93-AD2A-CDDF8B9E0A66}"/>
  <tableColumns count="8">
    <tableColumn id="1" xr3:uid="{ADDA65C4-06DD-4314-A47D-A7818C0E0557}" name="STT" dataDxfId="62"/>
    <tableColumn id="2" xr3:uid="{F965C482-241F-4F36-8CC9-B607E498ABB6}" name="Module" dataDxfId="61"/>
    <tableColumn id="3" xr3:uid="{501E39A4-7145-466F-B2D9-3FC5BCA3E0BE}" name="Số bài" dataDxfId="60"/>
    <tableColumn id="4" xr3:uid="{04E533D4-758A-4DC2-85DE-F3D42AC1B8FC}" name="Trạng thái" dataDxfId="59"/>
    <tableColumn id="5" xr3:uid="{CEBF2CE8-EC8B-48DF-9E60-52E1851AAA03}" name="Tiến độ (%)" dataDxfId="58"/>
    <tableColumn id="6" xr3:uid="{FA41D04F-4D92-4B2D-902B-A0DA2EBE0998}" name="Điểm /10" dataDxfId="57"/>
    <tableColumn id="7" xr3:uid="{50632DB6-42C2-493E-8DEF-49F6D6148356}" name="Ngày hoàn thành" dataDxfId="56"/>
    <tableColumn id="8" xr3:uid="{D80FAE64-A2FE-46E7-9181-73664C0AD0B9}" name="Ghi chú" dataDxfId="55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CB9035-10EF-4B77-8EBD-8239D3F8934B}" name="Tbl_C02" displayName="Tbl_C02" ref="A9:H10" totalsRowShown="0" headerRowDxfId="54" dataDxfId="53" tableBorderDxfId="52">
  <autoFilter ref="A9:H10" xr:uid="{6CCB9035-10EF-4B77-8EBD-8239D3F8934B}"/>
  <tableColumns count="8">
    <tableColumn id="1" xr3:uid="{B706A17A-943F-4CD8-AD7B-2BC2A40A3325}" name="STT" dataDxfId="51"/>
    <tableColumn id="2" xr3:uid="{84F4FECB-8C36-4E09-A21A-C30D5F5F0604}" name="Module" dataDxfId="50"/>
    <tableColumn id="3" xr3:uid="{952A7A13-DBD1-4A25-8759-3406720624EC}" name="Số bài" dataDxfId="49"/>
    <tableColumn id="4" xr3:uid="{5DBFAD6C-8B0E-4AA6-9B8E-5CFF0C5BAC01}" name="Trạng thái" dataDxfId="48"/>
    <tableColumn id="5" xr3:uid="{7B2D8E66-B69D-4E68-9FA1-194E02DAE2A1}" name="Tiến độ (%)" dataDxfId="47"/>
    <tableColumn id="6" xr3:uid="{ABF1DB21-8227-4BB5-8CE6-10DCFE85381A}" name="Điểm /10" dataDxfId="46"/>
    <tableColumn id="7" xr3:uid="{78B84462-4149-4D00-B07A-DDEA4E4ABE63}" name="Ngày hoàn thành" dataDxfId="45"/>
    <tableColumn id="8" xr3:uid="{8A1A739E-0DFC-4DC7-86DB-24EF37E571B5}" name="Ghi chú" dataDxfId="44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64EC8D-C2B0-4B2C-8FFB-6BA8698FC9A0}" name="Tbl_C01" displayName="Tbl_C01" ref="A9:H17" totalsRowShown="0" headerRowDxfId="43" dataDxfId="42" tableBorderDxfId="41">
  <autoFilter ref="A9:H17" xr:uid="{4364EC8D-C2B0-4B2C-8FFB-6BA8698FC9A0}"/>
  <tableColumns count="8">
    <tableColumn id="1" xr3:uid="{B91999B2-9684-4704-8A8D-8F142AC69274}" name="STT" dataDxfId="40"/>
    <tableColumn id="2" xr3:uid="{168D25CB-BC4D-41FC-AF10-FBE86A4C922F}" name="Module" dataDxfId="39"/>
    <tableColumn id="3" xr3:uid="{8C14B8D7-6F27-4159-BC13-50CCA64D1DF8}" name="Số bài" dataDxfId="38"/>
    <tableColumn id="4" xr3:uid="{271A7A32-CB0B-4851-AF0E-75F133FDD104}" name="Trạng thái" dataDxfId="37"/>
    <tableColumn id="5" xr3:uid="{EEDC8A72-4C8D-4ED1-A7D6-1146ACBC90C6}" name="Tiến độ (%)" dataDxfId="36"/>
    <tableColumn id="6" xr3:uid="{045DB831-7F7C-47C5-865D-19D62B602F34}" name="Điểm /10" dataDxfId="35"/>
    <tableColumn id="7" xr3:uid="{4A26ECC0-5EFE-49B5-BA5B-80526F77201C}" name="Ngày hoàn thành" dataDxfId="34"/>
    <tableColumn id="8" xr3:uid="{44F75075-C1E9-43F7-9BD7-7FE3A8F01FDF}" name="Ghi chú" dataDxfId="33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3CF0DFC2-B725-401E-95FC-864D8AD13F62}" name="Tbl_C75" displayName="Tbl_C75" ref="A9:H16" totalsRowShown="0" headerRowDxfId="22" dataDxfId="23" tableBorderDxfId="32">
  <autoFilter ref="A9:H16" xr:uid="{3CF0DFC2-B725-401E-95FC-864D8AD13F62}"/>
  <tableColumns count="8">
    <tableColumn id="1" xr3:uid="{2D81B981-9EBB-4C4D-819B-E41FB2D89915}" name="STT" dataDxfId="31"/>
    <tableColumn id="2" xr3:uid="{AAF95640-D313-4492-AD75-4D533A359A44}" name="Module" dataDxfId="30"/>
    <tableColumn id="3" xr3:uid="{96393E1B-60E0-4892-8615-95A98851E10F}" name="Số bài" dataDxfId="29"/>
    <tableColumn id="4" xr3:uid="{E9862DE0-7BEE-4430-A687-8EEA8450959B}" name="Trạng thái" dataDxfId="28"/>
    <tableColumn id="5" xr3:uid="{57E2F0E2-9951-4144-BE7E-D9C822EC4430}" name="Tiến độ (%)" dataDxfId="27">
      <calculatedColumnFormula>0</calculatedColumnFormula>
    </tableColumn>
    <tableColumn id="6" xr3:uid="{92ED46AB-86ED-4962-8B5F-1806594D9BD3}" name="Điểm /10" dataDxfId="26"/>
    <tableColumn id="7" xr3:uid="{00B24077-925D-401A-87F3-7B15F41F07C7}" name="Ngày hoàn thành" dataDxfId="25"/>
    <tableColumn id="8" xr3:uid="{77DAAD05-473D-4976-B70B-8BE1480216D6}" name="Ghi chú" dataDxfId="24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441DA57-2CC3-45A0-956D-EE003EE6B85F}" name="Tbl_C76" displayName="Tbl_C76" ref="A9:H18" totalsRowShown="0" headerRowDxfId="11" dataDxfId="12" tableBorderDxfId="21">
  <autoFilter ref="A9:H18" xr:uid="{5441DA57-2CC3-45A0-956D-EE003EE6B85F}"/>
  <tableColumns count="8">
    <tableColumn id="1" xr3:uid="{945C6DC0-3E08-4189-8AFD-5DB591307888}" name="STT" dataDxfId="20"/>
    <tableColumn id="2" xr3:uid="{884035CF-9CFA-4B56-8EA1-2B1878D31327}" name="Module" dataDxfId="19"/>
    <tableColumn id="3" xr3:uid="{C2236AE2-85CC-4F49-BA76-EF5F99C323D8}" name="Số bài" dataDxfId="18"/>
    <tableColumn id="4" xr3:uid="{917BA788-6BAB-4420-9447-E42F5E499FFB}" name="Trạng thái" dataDxfId="17"/>
    <tableColumn id="5" xr3:uid="{A5865655-FFD6-4751-8C34-BAD9A5EE6AF5}" name="Tiến độ (%)" dataDxfId="16">
      <calculatedColumnFormula>0</calculatedColumnFormula>
    </tableColumn>
    <tableColumn id="6" xr3:uid="{1E99B6C8-1F95-45A0-9C7A-C04E7C842A71}" name="Điểm /10" dataDxfId="15"/>
    <tableColumn id="7" xr3:uid="{62A84295-DAF7-4337-A74A-13E119661F59}" name="Ngày hoàn thành" dataDxfId="14"/>
    <tableColumn id="8" xr3:uid="{55143BB3-3B84-4A15-A247-815B24C7FC9E}" name="Ghi chú" dataDxfId="13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F41595E-3047-4A96-AABB-38E0B0849150}" name="Tbl_C77" displayName="Tbl_C77" ref="A9:H10" totalsRowShown="0" headerRowDxfId="0" dataDxfId="1" tableBorderDxfId="10">
  <autoFilter ref="A9:H10" xr:uid="{0F41595E-3047-4A96-AABB-38E0B0849150}"/>
  <tableColumns count="8">
    <tableColumn id="1" xr3:uid="{DC9E8F9C-87B5-40A7-B546-314D857DCBC8}" name="STT" dataDxfId="9">
      <calculatedColumnFormula>1</calculatedColumnFormula>
    </tableColumn>
    <tableColumn id="2" xr3:uid="{8D42DAA8-E346-4773-A419-154DDE1B4DB0}" name="Module" dataDxfId="8"/>
    <tableColumn id="3" xr3:uid="{3366CF41-0FF0-467D-AFD2-C681AE620819}" name="Số bài" dataDxfId="7">
      <calculatedColumnFormula>10</calculatedColumnFormula>
    </tableColumn>
    <tableColumn id="4" xr3:uid="{7F144A76-97F7-46DC-A0B0-D6598B2BDF56}" name="Trạng thái" dataDxfId="6"/>
    <tableColumn id="5" xr3:uid="{BD1537CF-8234-4AA2-9110-B21B2D4ED513}" name="Tiến độ (%)" dataDxfId="5">
      <calculatedColumnFormula>0</calculatedColumnFormula>
    </tableColumn>
    <tableColumn id="6" xr3:uid="{3275D2E8-F069-4424-9E65-C4861B825EC9}" name="Điểm /10" dataDxfId="4"/>
    <tableColumn id="7" xr3:uid="{11F40EE7-F39F-4575-8934-464C70C6F31F}" name="Ngày hoàn thành" dataDxfId="3"/>
    <tableColumn id="8" xr3:uid="{DF86AC38-033E-4478-BA49-991D1E5EA81F}" name="Ghi chú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06%20-%20Ng&#244;n%20ng&#7919;/01%20-%20Ti&#7871;ng%20Anh/tu-hoc-phat-am-tieng-anh-markdown.zip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09%20-%20Vi&#7871;t%20&amp;%20S&#225;ng%20t&#225;c/01%20-%20Vi&#7871;t%20ti&#7875;u%20thuy&#7871;t/creative-writing-how-to-write-a-nove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hyperlink" Target="08%20-%20S&#7913;c%20kh&#7887;e%20&amp;%20&#272;&#7901;i%20s&#7889;ng/01%20-%20Dinh%20d&#432;&#7905;ng/nutrition-masterclass-build-your-perfect-diet-meal-plan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hyperlink" Target="07%20-%20Kinh%20doanh%20&amp;%20Qu&#7843;n%20l&#253;/02%20-%20Developer%20Relations%20&amp;%20Technical%20Writing/technical-writer-roadmap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hyperlink" Target="07%20-%20Kinh%20doanh%20&amp;%20Qu&#7843;n%20l&#253;/02%20-%20Developer%20Relations%20&amp;%20Technical%20Writing/devrel-roadmap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hyperlink" Target="07%20-%20Kinh%20doanh%20&amp;%20Qu&#7843;n%20l&#253;/01%20-%20Product%20&amp;%20Engineering%20Management/product-manager-roadmap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hyperlink" Target="07%20-%20Kinh%20doanh%20&amp;%20Qu&#7843;n%20l&#253;/01%20-%20Product%20&amp;%20Engineering%20Management/engineering-manager-roadmap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hyperlink" Target="06%20-%20Ng&#244;n%20ng&#7919;/06%20-%20Ti&#7871;ng%20H&#224;n/complete-korean-course-for-beginners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hyperlink" Target="06%20-%20Ng&#244;n%20ng&#7919;/05%20-%20Ti&#7871;ng%20&#272;&#7913;c/complete-german-course-speaking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hyperlink" Target="06%20-%20Ng&#244;n%20ng&#7919;/04%20-%20Ti&#7871;ng%20Ph&#225;p/complete-french-course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hyperlink" Target="06%20-%20Ng&#244;n%20ng&#7919;/03%20-%20Ti&#7871;ng%20Nh&#7853;t/learn-japanese-for-beginners-course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hyperlink" Target="06%20-%20Ng&#244;n%20ng&#7919;/02%20-%20Ti&#7871;ng%20Trung/mandarin-mastery-path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hyperlink" Target="06%20-%20Ng&#244;n%20ng&#7919;/02%20-%20Ti&#7871;ng%20Trung/khoa-hoc-tieng-trung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hyperlink" Target="06%20-%20Ng&#244;n%20ng&#7919;/01%20-%20Ti&#7871;ng%20Anh/tu-vung-tieng-anh-co-ban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hyperlink" Target="06%20-%20Ng&#244;n%20ng&#7919;/01%20-%20Ti&#7871;ng%20Anh/tu-hoc-2000-tu-vung-tieng-anh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hyperlink" Target="06%20-%20Ng&#244;n%20ng&#7919;/01%20-%20Ti&#7871;ng%20Anh/the-english-master-course-english-grammar-speaking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hyperlink" Target="05%20-%20Ph&#225;t%20tri&#7875;n%20game/05%20-%20Game%20Art/pixel-art-master-course-beginner-to-professional-freelance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hyperlink" Target="05%20-%20Ph&#225;t%20tri&#7875;n%20game/04%20-%20Game%20Development%20Roadmaps/server-side-game-developer-roadmap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hyperlink" Target="05%20-%20Ph&#225;t%20tri&#7875;n%20game/04%20-%20Game%20Development%20Roadmaps/game-developer-roadmap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hyperlink" Target="05%20-%20Ph&#225;t%20tri&#7875;n%20game/03%20-%20Game%20Design/indie-game-design-build-your-games-core-system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hyperlink" Target="05%20-%20Ph&#225;t%20tri&#7875;n%20game/02%20-%20Ren'Py%20&amp;%20Visual%20Novels/renpy-minigames-101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hyperlink" Target="05%20-%20Ph&#225;t%20tri&#7875;n%20game/02%20-%20Ren'Py%20&amp;%20Visual%20Novels/python-basics-for-renpy-developers" TargetMode="Externa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hyperlink" Target="05%20-%20Ph&#225;t%20tri&#7875;n%20game/02%20-%20Ren'Py%20&amp;%20Visual%20Novels/mastering-renpy-create-visual-novels-like-a-pro" TargetMode="Externa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hyperlink" Target="05%20-%20Ph&#225;t%20tri&#7875;n%20game/01%20-%20Unity%20&amp;%20C" TargetMode="Externa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hyperlink" Target="05%20-%20Ph&#225;t%20tri&#7875;n%20game/01%20-%20Unity%20&amp;%20C" TargetMode="Externa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hyperlink" Target="04%20-%20Thi&#7871;t%20k&#7871;%20&amp;%20S&#225;ng%20t&#7841;o%20s&#7889;/03%20-%20Blender%20&amp;%203D/05%20-%20C&#417;%20h&#7885;c%20&amp;%20th&#7911;y%20&#273;&#7897;ng%20l&#7921;c%20h&#7885;c%20b&#417;i%20c&#225;" TargetMode="Externa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hyperlink" Target="04%20-%20Thi&#7871;t%20k&#7871;%20&amp;%20S&#225;ng%20t&#7841;o%20s&#7889;/03%20-%20Blender%20&amp;%203D/04%20-%20Gi&#7843;i%20ph&#7851;u%20&amp;%20ph&#225;t%20tri&#7875;n%20b&#7897;%20x&#432;&#417;ng%20c&#225;" TargetMode="Externa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hyperlink" Target="04%20-%20Thi&#7871;t%20k&#7871;%20&amp;%20S&#225;ng%20t&#7841;o%20s&#7889;/03%20-%20Blender%20&amp;%203D/03%20-%20VFX%20&amp;%20m&#244;%20ph&#7887;ng%20Blender" TargetMode="Externa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hyperlink" Target="04%20-%20Thi&#7871;t%20k&#7871;%20&amp;%20S&#225;ng%20t&#7841;o%20s&#7889;/03%20-%20Blender%20&amp;%203D/02%20-%20Animation%20c&#225;%20trong%20Blender" TargetMode="Externa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1.xml"/><Relationship Id="rId1" Type="http://schemas.openxmlformats.org/officeDocument/2006/relationships/hyperlink" Target="04%20-%20Thi&#7871;t%20k&#7871;%20&amp;%20S&#225;ng%20t&#7841;o%20s&#7889;/03%20-%20Blender%20&amp;%203D/01%20-%20Blender%20t&#7893;ng%20qu&#225;t" TargetMode="Externa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2.xml"/><Relationship Id="rId1" Type="http://schemas.openxmlformats.org/officeDocument/2006/relationships/hyperlink" Target="04%20-%20Thi&#7871;t%20k&#7871;%20&amp;%20S&#225;ng%20t&#7841;o%20s&#7889;/02%20-%20Figma%20&amp;%20Design-to-Code/figma-to-cursor-claude-code-mcp" TargetMode="Externa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3.xml"/><Relationship Id="rId1" Type="http://schemas.openxmlformats.org/officeDocument/2006/relationships/hyperlink" Target="04%20-%20Thi&#7871;t%20k&#7871;%20&amp;%20S&#225;ng%20t&#7841;o%20s&#7889;/02%20-%20Figma%20&amp;%20Design-to-Code/figma-to-code-cursor-mcp" TargetMode="Externa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4.xml"/><Relationship Id="rId1" Type="http://schemas.openxmlformats.org/officeDocument/2006/relationships/hyperlink" Target="04%20-%20Thi&#7871;t%20k&#7871;%20&amp;%20S&#225;ng%20t&#7841;o%20s&#7889;/02%20-%20Figma%20&amp;%20Design-to-Code/figma-to-angular-mastery" TargetMode="Externa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5.xml"/><Relationship Id="rId1" Type="http://schemas.openxmlformats.org/officeDocument/2006/relationships/hyperlink" Target="04%20-%20Thi&#7871;t%20k&#7871;%20&amp;%20S&#225;ng%20t&#7841;o%20s&#7889;/02%20-%20Figma%20&amp;%20Design-to-Code/figma-mcp-cursor-vibe-coding" TargetMode="Externa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6.xml"/><Relationship Id="rId1" Type="http://schemas.openxmlformats.org/officeDocument/2006/relationships/hyperlink" Target="04%20-%20Thi&#7871;t%20k&#7871;%20&amp;%20S&#225;ng%20t&#7841;o%20s&#7889;/02%20-%20Figma%20&amp;%20Design-to-Code/design-to-code-figma-mcp-cursor" TargetMode="Externa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7.xml"/><Relationship Id="rId1" Type="http://schemas.openxmlformats.org/officeDocument/2006/relationships/hyperlink" Target="04%20-%20Thi&#7871;t%20k&#7871;%20&amp;%20S&#225;ng%20t&#7841;o%20s&#7889;/02%20-%20Figma%20&amp;%20Design-to-Code/claude-code-figma-mcp-design-to-code" TargetMode="Externa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8.xml"/><Relationship Id="rId1" Type="http://schemas.openxmlformats.org/officeDocument/2006/relationships/hyperlink" Target="04%20-%20Thi&#7871;t%20k&#7871;%20&amp;%20S&#225;ng%20t&#7841;o%20s&#7889;/01%20-%20UX-UI%20&amp;%20Design%20Systems/vibe-coding-for-ux-ui-designers" TargetMode="Externa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9.xml"/><Relationship Id="rId1" Type="http://schemas.openxmlformats.org/officeDocument/2006/relationships/hyperlink" Target="04%20-%20Thi&#7871;t%20k&#7871;%20&amp;%20S&#225;ng%20t&#7841;o%20s&#7889;/01%20-%20UX-UI%20&amp;%20Design%20Systems/ux-design-roadmap" TargetMode="Externa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0.xml"/><Relationship Id="rId1" Type="http://schemas.openxmlformats.org/officeDocument/2006/relationships/hyperlink" Target="04%20-%20Thi&#7871;t%20k&#7871;%20&amp;%20S&#225;ng%20t&#7841;o%20s&#7889;/01%20-%20UX-UI%20&amp;%20Design%20Systems/design-system-figma-variable-setup-full-tutorial" TargetMode="Externa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1.xml"/><Relationship Id="rId1" Type="http://schemas.openxmlformats.org/officeDocument/2006/relationships/hyperlink" Target="04%20-%20Thi&#7871;t%20k&#7871;%20&amp;%20S&#225;ng%20t&#7841;o%20s&#7889;/01%20-%20UX-UI%20&amp;%20Design%20Systems/build-a-design-system-full-course" TargetMode="Externa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2.xml"/><Relationship Id="rId1" Type="http://schemas.openxmlformats.org/officeDocument/2006/relationships/hyperlink" Target="03%20-%20H&#7841;%20t&#7847;ng,%20M&#7841;ng%20&amp;%20An%20ninh/03%20-%20Blockchain%20&amp;%20Web3/blockchain-roadmap" TargetMode="Externa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3.xml"/><Relationship Id="rId1" Type="http://schemas.openxmlformats.org/officeDocument/2006/relationships/hyperlink" Target="03%20-%20H&#7841;%20t&#7847;ng,%20M&#7841;ng%20&amp;%20An%20ninh/02%20-%20An%20ninh%20m&#7841;ng%20&amp;%20DevSecOps/devsecops-roadmap" TargetMode="Externa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4.xml"/><Relationship Id="rId1" Type="http://schemas.openxmlformats.org/officeDocument/2006/relationships/hyperlink" Target="03%20-%20H&#7841;%20t&#7847;ng,%20M&#7841;ng%20&amp;%20An%20ninh/02%20-%20An%20ninh%20m&#7841;ng%20&amp;%20DevSecOps/cyber-security-roadmap" TargetMode="Externa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5.xml"/><Relationship Id="rId1" Type="http://schemas.openxmlformats.org/officeDocument/2006/relationships/hyperlink" Target="03%20-%20H&#7841;%20t&#7847;ng,%20M&#7841;ng%20&amp;%20An%20ninh/01%20-%20M&#7841;ng%20&amp;%20Giao%20ti&#7871;p%20h&#7879;%20th&#7889;ng/network-engineer-roadmap" TargetMode="Externa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6.xml"/><Relationship Id="rId1" Type="http://schemas.openxmlformats.org/officeDocument/2006/relationships/hyperlink" Target="03%20-%20H&#7841;%20t&#7847;ng,%20M&#7841;ng%20&amp;%20An%20ninh/01%20-%20M&#7841;ng%20&amp;%20Giao%20ti&#7871;p%20h&#7879;%20th&#7889;ng/fundamentals-of-backend-communications-and-protocols" TargetMode="Externa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7.xml"/><Relationship Id="rId1" Type="http://schemas.openxmlformats.org/officeDocument/2006/relationships/hyperlink" Target="02%20-%20L&#7853;p%20tr&#236;nh%20&amp;%20Ph&#225;t%20tri&#7875;n%20ph&#7847;n%20m&#7873;m/04%20-%20Ki&#7875;m%20th&#7917;%20ph&#7847;n%20m&#7873;m/qa-roadmap" TargetMode="Externa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8.xml"/><Relationship Id="rId1" Type="http://schemas.openxmlformats.org/officeDocument/2006/relationships/hyperlink" Target="02%20-%20L&#7853;p%20tr&#236;nh%20&amp;%20Ph&#225;t%20tri&#7875;n%20ph&#7847;n%20m&#7873;m/03%20-%20Ki&#7871;n%20tr&#250;c%20&amp;%20T&#237;ch%20h&#7907;p/software-architect-roadmap" TargetMode="Externa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9.xml"/><Relationship Id="rId1" Type="http://schemas.openxmlformats.org/officeDocument/2006/relationships/hyperlink" Target="02%20-%20L&#7853;p%20tr&#236;nh%20&amp;%20Ph&#225;t%20tri&#7875;n%20ph&#7847;n%20m&#7873;m/03%20-%20Ki&#7871;n%20tr&#250;c%20&amp;%20T&#237;ch%20h&#7907;p/enterprise-integration-engineer-roadmap" TargetMode="Externa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0.xml"/><Relationship Id="rId1" Type="http://schemas.openxmlformats.org/officeDocument/2006/relationships/hyperlink" Target="02%20-%20L&#7853;p%20tr&#236;nh%20&amp;%20Ph&#225;t%20tri&#7875;n%20ph&#7847;n%20m&#7873;m/02%20-%20Mobile/ios-roadmap" TargetMode="Externa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1.xml"/><Relationship Id="rId1" Type="http://schemas.openxmlformats.org/officeDocument/2006/relationships/hyperlink" Target="02%20-%20L&#7853;p%20tr&#236;nh%20&amp;%20Ph&#225;t%20tri&#7875;n%20ph&#7847;n%20m&#7873;m/02%20-%20Mobile/flutter-dart-the-complete-guide" TargetMode="Externa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2.xml"/><Relationship Id="rId1" Type="http://schemas.openxmlformats.org/officeDocument/2006/relationships/hyperlink" Target="02%20-%20L&#7853;p%20tr&#236;nh%20&amp;%20Ph&#225;t%20tri&#7875;n%20ph&#7847;n%20m&#7873;m/02%20-%20Mobile/flutter-ai-masterclass-cursor-figma" TargetMode="Externa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3.xml"/><Relationship Id="rId1" Type="http://schemas.openxmlformats.org/officeDocument/2006/relationships/hyperlink" Target="02%20-%20L&#7853;p%20tr&#236;nh%20&amp;%20Ph&#225;t%20tri&#7875;n%20ph&#7847;n%20m&#7873;m/02%20-%20Mobile/android-roadmap" TargetMode="Externa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4.xml"/><Relationship Id="rId1" Type="http://schemas.openxmlformats.org/officeDocument/2006/relationships/hyperlink" Target="02%20-%20L&#7853;p%20tr&#236;nh%20&amp;%20Ph&#225;t%20tri&#7875;n%20ph&#7847;n%20m&#7873;m/01%20-%20Web%20&amp;%20Backend/postgresql-dba-roadmap" TargetMode="Externa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5.xml"/><Relationship Id="rId1" Type="http://schemas.openxmlformats.org/officeDocument/2006/relationships/hyperlink" Target="02%20-%20L&#7853;p%20tr&#236;nh%20&amp;%20Ph&#225;t%20tri&#7875;n%20ph&#7847;n%20m&#7873;m/01%20-%20Web%20&amp;%20Backend/nodejs-the-complete-guide" TargetMode="Externa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6.xml"/><Relationship Id="rId1" Type="http://schemas.openxmlformats.org/officeDocument/2006/relationships/hyperlink" Target="02%20-%20L&#7853;p%20tr&#236;nh%20&amp;%20Ph&#225;t%20tri&#7875;n%20ph&#7847;n%20m&#7873;m/01%20-%20Web%20&amp;%20Backend/full-stack-developer-roadmap" TargetMode="Externa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7.xml"/><Relationship Id="rId1" Type="http://schemas.openxmlformats.org/officeDocument/2006/relationships/hyperlink" Target="02%20-%20L&#7853;p%20tr&#236;nh%20&amp;%20Ph&#225;t%20tri&#7875;n%20ph&#7847;n%20m&#7873;m/01%20-%20Web%20&amp;%20Backend/frontend-developer-roadmap" TargetMode="Externa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8.xml"/><Relationship Id="rId1" Type="http://schemas.openxmlformats.org/officeDocument/2006/relationships/hyperlink" Target="02%20-%20L&#7853;p%20tr&#236;nh%20&amp;%20Ph&#225;t%20tri&#7875;n%20ph&#7847;n%20m&#7873;m/01%20-%20Web%20&amp;%20Backend/backend-developer-roadmap" TargetMode="Externa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9.xml"/><Relationship Id="rId1" Type="http://schemas.openxmlformats.org/officeDocument/2006/relationships/hyperlink" Target="01%20-%20AI%20&amp;%20D&#7919;%20li&#7879;u/03%20-%20AI%20h&#7895;%20tr&#7907;%20ph&#225;t%20tri&#7875;n%20ph&#7847;n%20m&#7873;m/khoa-hoc-vibe-coding-co-ban" TargetMode="Externa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0.xml"/><Relationship Id="rId1" Type="http://schemas.openxmlformats.org/officeDocument/2006/relationships/hyperlink" Target="01%20-%20AI%20&amp;%20D&#7919;%20li&#7879;u/03%20-%20AI%20h&#7895;%20tr&#7907;%20ph&#225;t%20tri&#7875;n%20ph&#7847;n%20m&#7873;m/khoa-hoc-vibe-coding" TargetMode="Externa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1.xml"/><Relationship Id="rId1" Type="http://schemas.openxmlformats.org/officeDocument/2006/relationships/hyperlink" Target="01%20-%20AI%20&amp;%20D&#7919;%20li&#7879;u/03%20-%20AI%20h&#7895;%20tr&#7907;%20ph&#225;t%20tri&#7875;n%20ph&#7847;n%20m&#7873;m/claude-code-the-practical-guide" TargetMode="Externa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2.xml"/><Relationship Id="rId1" Type="http://schemas.openxmlformats.org/officeDocument/2006/relationships/hyperlink" Target="01%20-%20AI%20&amp;%20D&#7919;%20li&#7879;u/03%20-%20AI%20h&#7895;%20tr&#7907;%20ph&#225;t%20tri&#7875;n%20ph&#7847;n%20m&#7873;m/claude-code-cowork-masterclass-2026" TargetMode="External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3.xml"/><Relationship Id="rId1" Type="http://schemas.openxmlformats.org/officeDocument/2006/relationships/hyperlink" Target="01%20-%20AI%20&amp;%20D&#7919;%20li&#7879;u/03%20-%20AI%20h&#7895;%20tr&#7907;%20ph&#225;t%20tri&#7875;n%20ph&#7847;n%20m&#7873;m/claude-aiagents-cowork-masterclass" TargetMode="Externa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4.xml"/><Relationship Id="rId1" Type="http://schemas.openxmlformats.org/officeDocument/2006/relationships/hyperlink" Target="01%20-%20AI%20&amp;%20D&#7919;%20li&#7879;u/03%20-%20AI%20h&#7895;%20tr&#7907;%20ph&#225;t%20tri&#7875;n%20ph&#7847;n%20m&#7873;m/ai-coder-complete-claude-code-coding-agents" TargetMode="Externa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5.xml"/><Relationship Id="rId1" Type="http://schemas.openxmlformats.org/officeDocument/2006/relationships/hyperlink" Target="01%20-%20AI%20&amp;%20D&#7919;%20li&#7879;u/02%20-%20Data%20Science,%20Analytics%20&amp;%20ML/machine-learning-roadmap" TargetMode="External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6.xml"/><Relationship Id="rId1" Type="http://schemas.openxmlformats.org/officeDocument/2006/relationships/hyperlink" Target="01%20-%20AI%20&amp;%20D&#7919;%20li&#7879;u/02%20-%20Data%20Science,%20Analytics%20&amp;%20ML/khoa-hoc-tinh-toan-tien-hoa" TargetMode="External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7.xml"/><Relationship Id="rId1" Type="http://schemas.openxmlformats.org/officeDocument/2006/relationships/hyperlink" Target="01%20-%20AI%20&amp;%20D&#7919;%20li&#7879;u/02%20-%20Data%20Science,%20Analytics%20&amp;%20ML/data-engineer-roadmap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8.xml"/><Relationship Id="rId1" Type="http://schemas.openxmlformats.org/officeDocument/2006/relationships/hyperlink" Target="01%20-%20AI%20&amp;%20D&#7919;%20li&#7879;u/02%20-%20Data%20Science,%20Analytics%20&amp;%20ML/data-analyst-roadmap" TargetMode="External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9.xml"/><Relationship Id="rId1" Type="http://schemas.openxmlformats.org/officeDocument/2006/relationships/hyperlink" Target="01%20-%20AI%20&amp;%20D&#7919;%20li&#7879;u/02%20-%20Data%20Science,%20Analytics%20&amp;%20ML/bi-analyst-roadmap" TargetMode="External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0.xml"/><Relationship Id="rId1" Type="http://schemas.openxmlformats.org/officeDocument/2006/relationships/hyperlink" Target="01%20-%20AI%20&amp;%20D&#7919;%20li&#7879;u/02%20-%20Data%20Science,%20Analytics%20&amp;%20ML/ai-data-scientist-roadmap" TargetMode="External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1.xml"/><Relationship Id="rId1" Type="http://schemas.openxmlformats.org/officeDocument/2006/relationships/hyperlink" Target="01%20-%20AI%20&amp;%20D&#7919;%20li&#7879;u/01%20-%20AI%20Engineering%20&amp;%20LLM/ultimate-rag-bootcamp" TargetMode="External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2.xml"/><Relationship Id="rId1" Type="http://schemas.openxmlformats.org/officeDocument/2006/relationships/hyperlink" Target="01%20-%20AI%20&amp;%20D&#7919;%20li&#7879;u/01%20-%20AI%20Engineering%20&amp;%20LLM/rag-basic-to-advanced" TargetMode="External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3.xml"/><Relationship Id="rId1" Type="http://schemas.openxmlformats.org/officeDocument/2006/relationships/hyperlink" Target="01%20-%20AI%20&amp;%20D&#7919;%20li&#7879;u/01%20-%20AI%20Engineering%20&amp;%20LLM/langchain" TargetMode="Externa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4.xml"/><Relationship Id="rId1" Type="http://schemas.openxmlformats.org/officeDocument/2006/relationships/hyperlink" Target="01%20-%20AI%20&amp;%20D&#7919;%20li&#7879;u/01%20-%20AI%20Engineering%20&amp;%20LLM/ai-engineer-roadmap" TargetMode="Externa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5.xml"/><Relationship Id="rId1" Type="http://schemas.openxmlformats.org/officeDocument/2006/relationships/hyperlink" Target="01%20-%20AI%20&amp;%20D&#7919;%20li&#7879;u/01%20-%20AI%20Engineering%20&amp;%20LLM/Ai-engineer" TargetMode="External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6.xml"/><Relationship Id="rId1" Type="http://schemas.openxmlformats.org/officeDocument/2006/relationships/hyperlink" Target="06%20-%20Ng&#244;n%20ng&#7919;/01%20-%20Ti&#7871;ng%20Anh/english-pronunciation-course.zip" TargetMode="External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7.xml"/><Relationship Id="rId1" Type="http://schemas.openxmlformats.org/officeDocument/2006/relationships/hyperlink" Target="06%20-%20Ng&#244;n%20ng&#7919;/01%20-%20Ti&#7871;ng%20Anh/tu-hoc-phat-am-tieng-anh-nen-tang-ky-nang-doc.zip" TargetMode="External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8.xml"/><Relationship Id="rId1" Type="http://schemas.openxmlformats.org/officeDocument/2006/relationships/hyperlink" Target="01%20-%20AI%20&amp;%20D&#7919;%20li&#7879;u/01%20-%20AI%20Engineering%20&amp;%20LLM/alphaagent-llm-driven-alpha-mining.zi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597AD-0E1D-4940-ACC5-9767C5A5FC7E}">
  <sheetPr>
    <tabColor rgb="FF1F4E79"/>
  </sheetPr>
  <dimension ref="A1:O88"/>
  <sheetViews>
    <sheetView workbookViewId="0">
      <pane ySplit="11" topLeftCell="A12" activePane="bottomLeft" state="frozen"/>
      <selection pane="bottomLeft" activeCell="A12" sqref="A12"/>
    </sheetView>
  </sheetViews>
  <sheetFormatPr defaultRowHeight="14.4" x14ac:dyDescent="0.3"/>
  <cols>
    <col min="1" max="1" width="8.77734375" customWidth="1"/>
    <col min="2" max="2" width="43.77734375" customWidth="1"/>
    <col min="3" max="3" width="25.77734375" customWidth="1"/>
    <col min="4" max="4" width="32.77734375" customWidth="1"/>
    <col min="5" max="5" width="11.77734375" customWidth="1"/>
    <col min="6" max="6" width="10.77734375" customWidth="1"/>
    <col min="7" max="7" width="12.77734375" customWidth="1"/>
    <col min="8" max="8" width="11.77734375" customWidth="1"/>
    <col min="9" max="9" width="18.77734375" customWidth="1"/>
    <col min="10" max="10" width="23.77734375" customWidth="1"/>
    <col min="11" max="11" width="3.77734375" customWidth="1"/>
    <col min="12" max="12" width="28.77734375" customWidth="1"/>
    <col min="13" max="13" width="10.77734375" customWidth="1"/>
    <col min="14" max="14" width="13.77734375" customWidth="1"/>
    <col min="15" max="15" width="3.77734375" customWidth="1"/>
  </cols>
  <sheetData>
    <row r="1" spans="1:15" ht="31.95" customHeight="1" x14ac:dyDescent="0.3">
      <c r="A1" s="55" t="s">
        <v>1245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</row>
    <row r="2" spans="1:15" ht="19.95" customHeight="1" x14ac:dyDescent="0.3">
      <c r="A2" s="68" t="s">
        <v>1246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</row>
    <row r="4" spans="1:15" x14ac:dyDescent="0.3">
      <c r="A4" s="58" t="s">
        <v>1247</v>
      </c>
      <c r="B4" s="58"/>
      <c r="D4" s="58" t="s">
        <v>29</v>
      </c>
      <c r="E4" s="58"/>
      <c r="G4" s="58" t="s">
        <v>1248</v>
      </c>
      <c r="H4" s="58"/>
      <c r="J4" s="58" t="s">
        <v>1249</v>
      </c>
      <c r="K4" s="58"/>
      <c r="M4" s="58" t="s">
        <v>32</v>
      </c>
      <c r="N4" s="58"/>
    </row>
    <row r="5" spans="1:15" x14ac:dyDescent="0.3">
      <c r="A5" s="74">
        <f>COUNTA(B12:B88)</f>
        <v>77</v>
      </c>
      <c r="B5" s="59"/>
      <c r="D5" s="77">
        <f>SUM(E12:E88)</f>
        <v>992</v>
      </c>
      <c r="E5" s="69"/>
      <c r="G5" s="76">
        <f>SUM(F12:F88)</f>
        <v>0</v>
      </c>
      <c r="H5" s="60"/>
      <c r="J5" s="78">
        <f>IFERROR(AVERAGE(G12:G88),0)</f>
        <v>0</v>
      </c>
      <c r="K5" s="61"/>
      <c r="M5" s="75" t="str">
        <f>IFERROR(AVERAGE(H12:H88),"")</f>
        <v/>
      </c>
      <c r="N5" s="62"/>
    </row>
    <row r="6" spans="1:15" x14ac:dyDescent="0.3">
      <c r="A6" s="59"/>
      <c r="B6" s="59"/>
      <c r="D6" s="69"/>
      <c r="E6" s="69"/>
      <c r="G6" s="60"/>
      <c r="H6" s="60"/>
      <c r="J6" s="61"/>
      <c r="K6" s="61"/>
      <c r="M6" s="62"/>
      <c r="N6" s="62"/>
    </row>
    <row r="8" spans="1:15" x14ac:dyDescent="0.3">
      <c r="A8" s="65" t="s">
        <v>1250</v>
      </c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</row>
    <row r="10" spans="1:15" x14ac:dyDescent="0.3">
      <c r="A10" s="67" t="s">
        <v>1251</v>
      </c>
      <c r="B10" s="66"/>
      <c r="C10" s="66"/>
      <c r="D10" s="66"/>
      <c r="E10" s="66"/>
      <c r="F10" s="66"/>
      <c r="G10" s="66"/>
      <c r="H10" s="66"/>
      <c r="I10" s="66"/>
      <c r="J10" s="66"/>
      <c r="L10" s="67" t="s">
        <v>1408</v>
      </c>
      <c r="M10" s="66"/>
      <c r="N10" s="66"/>
      <c r="O10" s="66"/>
    </row>
    <row r="11" spans="1:15" ht="28.05" customHeight="1" x14ac:dyDescent="0.3">
      <c r="A11" s="32" t="s">
        <v>1252</v>
      </c>
      <c r="B11" s="32" t="s">
        <v>1399</v>
      </c>
      <c r="C11" s="32" t="s">
        <v>1400</v>
      </c>
      <c r="D11" s="32" t="s">
        <v>1401</v>
      </c>
      <c r="E11" s="32" t="s">
        <v>1402</v>
      </c>
      <c r="F11" s="32" t="s">
        <v>1403</v>
      </c>
      <c r="G11" s="32" t="s">
        <v>1404</v>
      </c>
      <c r="H11" s="32" t="s">
        <v>1405</v>
      </c>
      <c r="I11" s="32" t="s">
        <v>1406</v>
      </c>
      <c r="J11" s="32" t="s">
        <v>1407</v>
      </c>
      <c r="L11" s="41" t="s">
        <v>25</v>
      </c>
      <c r="M11" s="41"/>
      <c r="N11" s="41"/>
    </row>
    <row r="12" spans="1:15" x14ac:dyDescent="0.3">
      <c r="A12" s="18" t="s">
        <v>42</v>
      </c>
      <c r="B12" s="19" t="s">
        <v>1253</v>
      </c>
      <c r="C12" s="19" t="s">
        <v>43</v>
      </c>
      <c r="D12" s="19" t="s">
        <v>44</v>
      </c>
      <c r="E12" s="33">
        <f>'C01 AI Agent 365 Ngày'!$A$6</f>
        <v>8</v>
      </c>
      <c r="F12" s="33">
        <f>'C01 AI Agent 365 Ngày'!$C$6</f>
        <v>0</v>
      </c>
      <c r="G12" s="34">
        <f>'C01 AI Agent 365 Ngày'!$E$6</f>
        <v>0</v>
      </c>
      <c r="H12" s="35" t="str">
        <f>'C01 AI Agent 365 Ngày'!$G$6</f>
        <v/>
      </c>
      <c r="I12" s="18" t="str">
        <f t="shared" ref="I12:I43" si="0">IF(E12=0,"Chưa có module",IF(F12=E12,"Đã hoàn thành",IF(F12=0,"Chưa bắt đầu","Đang học")))</f>
        <v>Chưa bắt đầu</v>
      </c>
      <c r="J12" s="36" t="s">
        <v>1254</v>
      </c>
      <c r="L12" s="13" t="s">
        <v>43</v>
      </c>
      <c r="M12" s="8">
        <f>COUNTIF($C$12:$C$88,L12)</f>
        <v>18</v>
      </c>
      <c r="N12" s="42">
        <f>IFERROR(AVERAGEIF($C$12:$C$88,L12,$G$12:$G$88),0)</f>
        <v>0</v>
      </c>
    </row>
    <row r="13" spans="1:15" ht="28.8" x14ac:dyDescent="0.3">
      <c r="A13" s="18" t="s">
        <v>56</v>
      </c>
      <c r="B13" s="19" t="s">
        <v>1255</v>
      </c>
      <c r="C13" s="19" t="s">
        <v>43</v>
      </c>
      <c r="D13" s="19" t="s">
        <v>44</v>
      </c>
      <c r="E13" s="33">
        <f>'C02 AI Engineer Roadmap Course'!$A$6</f>
        <v>1</v>
      </c>
      <c r="F13" s="33">
        <f>'C02 AI Engineer Roadmap Course'!$C$6</f>
        <v>0</v>
      </c>
      <c r="G13" s="34">
        <f>'C02 AI Engineer Roadmap Course'!$E$6</f>
        <v>0</v>
      </c>
      <c r="H13" s="35" t="str">
        <f>'C02 AI Engineer Roadmap Course'!$G$6</f>
        <v/>
      </c>
      <c r="I13" s="18" t="str">
        <f t="shared" si="0"/>
        <v>Chưa bắt đầu</v>
      </c>
      <c r="J13" s="36" t="s">
        <v>1256</v>
      </c>
      <c r="L13" s="13" t="s">
        <v>251</v>
      </c>
      <c r="M13" s="8">
        <f>COUNTIF($C$12:$C$88,L13)</f>
        <v>12</v>
      </c>
      <c r="N13" s="42">
        <f>IFERROR(AVERAGEIF($C$12:$C$88,L13,$G$12:$G$88),0)</f>
        <v>0</v>
      </c>
    </row>
    <row r="14" spans="1:15" ht="28.8" x14ac:dyDescent="0.3">
      <c r="A14" s="18" t="s">
        <v>60</v>
      </c>
      <c r="B14" s="19" t="s">
        <v>1257</v>
      </c>
      <c r="C14" s="19" t="s">
        <v>43</v>
      </c>
      <c r="D14" s="19" t="s">
        <v>44</v>
      </c>
      <c r="E14" s="33">
        <f>'C03 LangChain - Agentic AI Engi'!$A$6</f>
        <v>28</v>
      </c>
      <c r="F14" s="33">
        <f>'C03 LangChain - Agentic AI Engi'!$C$6</f>
        <v>0</v>
      </c>
      <c r="G14" s="34">
        <f>'C03 LangChain - Agentic AI Engi'!$E$6</f>
        <v>0</v>
      </c>
      <c r="H14" s="35" t="str">
        <f>'C03 LangChain - Agentic AI Engi'!$G$6</f>
        <v/>
      </c>
      <c r="I14" s="18" t="str">
        <f t="shared" si="0"/>
        <v>Chưa bắt đầu</v>
      </c>
      <c r="J14" s="36" t="s">
        <v>1258</v>
      </c>
      <c r="L14" s="13" t="s">
        <v>378</v>
      </c>
      <c r="M14" s="8">
        <f>COUNTIF($C$12:$C$88,L14)</f>
        <v>5</v>
      </c>
      <c r="N14" s="42">
        <f>IFERROR(AVERAGEIF($C$12:$C$88,L14,$G$12:$G$88),0)</f>
        <v>0</v>
      </c>
    </row>
    <row r="15" spans="1:15" ht="28.8" x14ac:dyDescent="0.3">
      <c r="A15" s="18" t="s">
        <v>91</v>
      </c>
      <c r="B15" s="19" t="s">
        <v>1259</v>
      </c>
      <c r="C15" s="19" t="s">
        <v>43</v>
      </c>
      <c r="D15" s="19" t="s">
        <v>44</v>
      </c>
      <c r="E15" s="33">
        <f>'C04 Basic to Advanced- Retrieva'!$A$6</f>
        <v>9</v>
      </c>
      <c r="F15" s="33">
        <f>'C04 Basic to Advanced- Retrieva'!$C$6</f>
        <v>0</v>
      </c>
      <c r="G15" s="34">
        <f>'C04 Basic to Advanced- Retrieva'!$E$6</f>
        <v>0</v>
      </c>
      <c r="H15" s="35" t="str">
        <f>'C04 Basic to Advanced- Retrieva'!$G$6</f>
        <v/>
      </c>
      <c r="I15" s="18" t="str">
        <f t="shared" si="0"/>
        <v>Chưa bắt đầu</v>
      </c>
      <c r="J15" s="36" t="s">
        <v>1260</v>
      </c>
      <c r="L15" s="13" t="s">
        <v>409</v>
      </c>
      <c r="M15" s="8">
        <f>COUNTIF($C$12:$C$88,L15)</f>
        <v>15</v>
      </c>
      <c r="N15" s="42">
        <f>IFERROR(AVERAGEIF($C$12:$C$88,L15,$G$12:$G$88),0)</f>
        <v>0</v>
      </c>
    </row>
    <row r="16" spans="1:15" ht="28.8" x14ac:dyDescent="0.3">
      <c r="A16" s="18" t="s">
        <v>102</v>
      </c>
      <c r="B16" s="19" t="s">
        <v>1261</v>
      </c>
      <c r="C16" s="19" t="s">
        <v>43</v>
      </c>
      <c r="D16" s="19" t="s">
        <v>44</v>
      </c>
      <c r="E16" s="33">
        <f>'C05 Ultimate RAG Bootcamp Using'!$A$6</f>
        <v>29</v>
      </c>
      <c r="F16" s="33">
        <f>'C05 Ultimate RAG Bootcamp Using'!$C$6</f>
        <v>0</v>
      </c>
      <c r="G16" s="34">
        <f>'C05 Ultimate RAG Bootcamp Using'!$E$6</f>
        <v>0</v>
      </c>
      <c r="H16" s="35" t="str">
        <f>'C05 Ultimate RAG Bootcamp Using'!$G$6</f>
        <v/>
      </c>
      <c r="I16" s="18" t="str">
        <f t="shared" si="0"/>
        <v>Chưa bắt đầu</v>
      </c>
      <c r="J16" s="36" t="s">
        <v>1262</v>
      </c>
      <c r="L16" s="13" t="s">
        <v>587</v>
      </c>
      <c r="M16" s="8">
        <f>COUNTIF($C$12:$C$88,L16)</f>
        <v>9</v>
      </c>
      <c r="N16" s="42">
        <f>IFERROR(AVERAGEIF($C$12:$C$88,L16,$G$12:$G$88),0)</f>
        <v>0</v>
      </c>
    </row>
    <row r="17" spans="1:14" x14ac:dyDescent="0.3">
      <c r="A17" s="18" t="s">
        <v>133</v>
      </c>
      <c r="B17" s="19" t="s">
        <v>1263</v>
      </c>
      <c r="C17" s="19" t="s">
        <v>43</v>
      </c>
      <c r="D17" s="19" t="s">
        <v>134</v>
      </c>
      <c r="E17" s="33">
        <f>'C06 AI &amp; Data Scientist Roadmap'!$A$6</f>
        <v>1</v>
      </c>
      <c r="F17" s="33">
        <f>'C06 AI &amp; Data Scientist Roadmap'!$C$6</f>
        <v>0</v>
      </c>
      <c r="G17" s="34">
        <f>'C06 AI &amp; Data Scientist Roadmap'!$E$6</f>
        <v>0</v>
      </c>
      <c r="H17" s="35" t="str">
        <f>'C06 AI &amp; Data Scientist Roadmap'!$G$6</f>
        <v/>
      </c>
      <c r="I17" s="18" t="str">
        <f t="shared" si="0"/>
        <v>Chưa bắt đầu</v>
      </c>
      <c r="J17" s="36" t="s">
        <v>1264</v>
      </c>
      <c r="L17" s="13" t="s">
        <v>670</v>
      </c>
      <c r="M17" s="8">
        <f>COUNTIF($C$12:$C$88,L17)</f>
        <v>12</v>
      </c>
      <c r="N17" s="42">
        <f>IFERROR(AVERAGEIF($C$12:$C$88,L17,$G$12:$G$88),0)</f>
        <v>0</v>
      </c>
    </row>
    <row r="18" spans="1:14" x14ac:dyDescent="0.3">
      <c r="A18" s="18" t="s">
        <v>138</v>
      </c>
      <c r="B18" s="19" t="s">
        <v>1265</v>
      </c>
      <c r="C18" s="19" t="s">
        <v>43</v>
      </c>
      <c r="D18" s="19" t="s">
        <v>134</v>
      </c>
      <c r="E18" s="33">
        <f>'C07 bi-analyst-roadmap'!$A$6</f>
        <v>2</v>
      </c>
      <c r="F18" s="33">
        <f>'C07 bi-analyst-roadmap'!$C$6</f>
        <v>0</v>
      </c>
      <c r="G18" s="34">
        <f>'C07 bi-analyst-roadmap'!$E$6</f>
        <v>0</v>
      </c>
      <c r="H18" s="35" t="str">
        <f>'C07 bi-analyst-roadmap'!$G$6</f>
        <v/>
      </c>
      <c r="I18" s="18" t="str">
        <f t="shared" si="0"/>
        <v>Chưa bắt đầu</v>
      </c>
      <c r="J18" s="36" t="s">
        <v>1266</v>
      </c>
      <c r="L18" s="13" t="s">
        <v>1204</v>
      </c>
      <c r="M18" s="8">
        <f>COUNTIF($C$12:$C$88,L18)</f>
        <v>4</v>
      </c>
      <c r="N18" s="42">
        <f>IFERROR(AVERAGEIF($C$12:$C$88,L18,$G$12:$G$88),0)</f>
        <v>0</v>
      </c>
    </row>
    <row r="19" spans="1:14" x14ac:dyDescent="0.3">
      <c r="A19" s="18" t="s">
        <v>143</v>
      </c>
      <c r="B19" s="19" t="s">
        <v>1267</v>
      </c>
      <c r="C19" s="19" t="s">
        <v>43</v>
      </c>
      <c r="D19" s="19" t="s">
        <v>134</v>
      </c>
      <c r="E19" s="33">
        <f>'C08 data-analyst-roadmap'!$A$6</f>
        <v>1</v>
      </c>
      <c r="F19" s="33">
        <f>'C08 data-analyst-roadmap'!$C$6</f>
        <v>0</v>
      </c>
      <c r="G19" s="34">
        <f>'C08 data-analyst-roadmap'!$E$6</f>
        <v>0</v>
      </c>
      <c r="H19" s="35" t="str">
        <f>'C08 data-analyst-roadmap'!$G$6</f>
        <v/>
      </c>
      <c r="I19" s="18" t="str">
        <f t="shared" si="0"/>
        <v>Chưa bắt đầu</v>
      </c>
      <c r="J19" s="36" t="s">
        <v>1268</v>
      </c>
      <c r="L19" s="13" t="s">
        <v>1224</v>
      </c>
      <c r="M19" s="8">
        <f>COUNTIF($C$12:$C$88,L19)</f>
        <v>1</v>
      </c>
      <c r="N19" s="42">
        <f>IFERROR(AVERAGEIF($C$12:$C$88,L19,$G$12:$G$88),0)</f>
        <v>0</v>
      </c>
    </row>
    <row r="20" spans="1:14" x14ac:dyDescent="0.3">
      <c r="A20" s="18" t="s">
        <v>147</v>
      </c>
      <c r="B20" s="19" t="s">
        <v>1269</v>
      </c>
      <c r="C20" s="19" t="s">
        <v>43</v>
      </c>
      <c r="D20" s="19" t="s">
        <v>134</v>
      </c>
      <c r="E20" s="33">
        <f>'C09 data-engineer-roadmap'!$A$6</f>
        <v>1</v>
      </c>
      <c r="F20" s="33">
        <f>'C09 data-engineer-roadmap'!$C$6</f>
        <v>0</v>
      </c>
      <c r="G20" s="34">
        <f>'C09 data-engineer-roadmap'!$E$6</f>
        <v>0</v>
      </c>
      <c r="H20" s="35" t="str">
        <f>'C09 data-engineer-roadmap'!$G$6</f>
        <v/>
      </c>
      <c r="I20" s="18" t="str">
        <f t="shared" si="0"/>
        <v>Chưa bắt đầu</v>
      </c>
      <c r="J20" s="36" t="s">
        <v>1270</v>
      </c>
      <c r="L20" s="13" t="s">
        <v>1238</v>
      </c>
      <c r="M20" s="8">
        <f>COUNTIF($C$12:$C$88,L20)</f>
        <v>1</v>
      </c>
      <c r="N20" s="42">
        <f>IFERROR(AVERAGEIF($C$12:$C$88,L20,$G$12:$G$88),0)</f>
        <v>0</v>
      </c>
    </row>
    <row r="21" spans="1:14" ht="28.8" x14ac:dyDescent="0.3">
      <c r="A21" s="18" t="s">
        <v>151</v>
      </c>
      <c r="B21" s="19" t="s">
        <v>1271</v>
      </c>
      <c r="C21" s="19" t="s">
        <v>43</v>
      </c>
      <c r="D21" s="19" t="s">
        <v>134</v>
      </c>
      <c r="E21" s="33">
        <f>'C10 Khóa Học Tính Toán Tiến Hóa'!$A$6</f>
        <v>10</v>
      </c>
      <c r="F21" s="33">
        <f>'C10 Khóa Học Tính Toán Tiến Hóa'!$C$6</f>
        <v>0</v>
      </c>
      <c r="G21" s="34">
        <f>'C10 Khóa Học Tính Toán Tiến Hóa'!$E$6</f>
        <v>0</v>
      </c>
      <c r="H21" s="35" t="str">
        <f>'C10 Khóa Học Tính Toán Tiến Hóa'!$G$6</f>
        <v/>
      </c>
      <c r="I21" s="18" t="str">
        <f t="shared" si="0"/>
        <v>Chưa bắt đầu</v>
      </c>
      <c r="J21" s="36" t="s">
        <v>1272</v>
      </c>
    </row>
    <row r="22" spans="1:14" x14ac:dyDescent="0.3">
      <c r="A22" s="18" t="s">
        <v>164</v>
      </c>
      <c r="B22" s="19" t="s">
        <v>1273</v>
      </c>
      <c r="C22" s="19" t="s">
        <v>43</v>
      </c>
      <c r="D22" s="19" t="s">
        <v>134</v>
      </c>
      <c r="E22" s="33">
        <f>'C11 machine-learning-roadmap'!$A$6</f>
        <v>1</v>
      </c>
      <c r="F22" s="33">
        <f>'C11 machine-learning-roadmap'!$C$6</f>
        <v>0</v>
      </c>
      <c r="G22" s="34">
        <f>'C11 machine-learning-roadmap'!$E$6</f>
        <v>0</v>
      </c>
      <c r="H22" s="35" t="str">
        <f>'C11 machine-learning-roadmap'!$G$6</f>
        <v/>
      </c>
      <c r="I22" s="18" t="str">
        <f t="shared" si="0"/>
        <v>Chưa bắt đầu</v>
      </c>
      <c r="J22" s="36" t="s">
        <v>1274</v>
      </c>
    </row>
    <row r="23" spans="1:14" ht="28.8" x14ac:dyDescent="0.3">
      <c r="A23" s="18" t="s">
        <v>168</v>
      </c>
      <c r="B23" s="19" t="s">
        <v>1275</v>
      </c>
      <c r="C23" s="19" t="s">
        <v>43</v>
      </c>
      <c r="D23" s="19" t="s">
        <v>169</v>
      </c>
      <c r="E23" s="33">
        <f>'C12 AI Coder- Complete Claude C'!$A$6</f>
        <v>16</v>
      </c>
      <c r="F23" s="33">
        <f>'C12 AI Coder- Complete Claude C'!$C$6</f>
        <v>0</v>
      </c>
      <c r="G23" s="34">
        <f>'C12 AI Coder- Complete Claude C'!$E$6</f>
        <v>0</v>
      </c>
      <c r="H23" s="35" t="str">
        <f>'C12 AI Coder- Complete Claude C'!$G$6</f>
        <v/>
      </c>
      <c r="I23" s="18" t="str">
        <f t="shared" si="0"/>
        <v>Chưa bắt đầu</v>
      </c>
      <c r="J23" s="36" t="s">
        <v>1276</v>
      </c>
    </row>
    <row r="24" spans="1:14" x14ac:dyDescent="0.3">
      <c r="A24" s="18" t="s">
        <v>188</v>
      </c>
      <c r="B24" s="19" t="s">
        <v>1277</v>
      </c>
      <c r="C24" s="19" t="s">
        <v>43</v>
      </c>
      <c r="D24" s="19" t="s">
        <v>169</v>
      </c>
      <c r="E24" s="33">
        <f>'C13 claude-aiagents-cowork-mast'!$A$6</f>
        <v>13</v>
      </c>
      <c r="F24" s="33">
        <f>'C13 claude-aiagents-cowork-mast'!$C$6</f>
        <v>0</v>
      </c>
      <c r="G24" s="34">
        <f>'C13 claude-aiagents-cowork-mast'!$E$6</f>
        <v>0</v>
      </c>
      <c r="H24" s="35" t="str">
        <f>'C13 claude-aiagents-cowork-mast'!$G$6</f>
        <v/>
      </c>
      <c r="I24" s="18" t="str">
        <f t="shared" si="0"/>
        <v>Chưa bắt đầu</v>
      </c>
      <c r="J24" s="36" t="s">
        <v>1278</v>
      </c>
    </row>
    <row r="25" spans="1:14" ht="28.8" x14ac:dyDescent="0.3">
      <c r="A25" s="18" t="s">
        <v>204</v>
      </c>
      <c r="B25" s="19" t="s">
        <v>1279</v>
      </c>
      <c r="C25" s="19" t="s">
        <v>43</v>
      </c>
      <c r="D25" s="19" t="s">
        <v>169</v>
      </c>
      <c r="E25" s="33">
        <f>'C14 The Complete Claude Code &amp;'!$A$6</f>
        <v>13</v>
      </c>
      <c r="F25" s="33">
        <f>'C14 The Complete Claude Code &amp;'!$C$6</f>
        <v>0</v>
      </c>
      <c r="G25" s="34">
        <f>'C14 The Complete Claude Code &amp;'!$E$6</f>
        <v>0</v>
      </c>
      <c r="H25" s="35" t="str">
        <f>'C14 The Complete Claude Code &amp;'!$G$6</f>
        <v/>
      </c>
      <c r="I25" s="18" t="str">
        <f t="shared" si="0"/>
        <v>Chưa bắt đầu</v>
      </c>
      <c r="J25" s="36" t="s">
        <v>1280</v>
      </c>
    </row>
    <row r="26" spans="1:14" x14ac:dyDescent="0.3">
      <c r="A26" s="18" t="s">
        <v>220</v>
      </c>
      <c r="B26" s="19" t="s">
        <v>1281</v>
      </c>
      <c r="C26" s="19" t="s">
        <v>43</v>
      </c>
      <c r="D26" s="19" t="s">
        <v>169</v>
      </c>
      <c r="E26" s="33">
        <f>'C15 Claude Code - The Practical'!$A$6</f>
        <v>3</v>
      </c>
      <c r="F26" s="33">
        <f>'C15 Claude Code - The Practical'!$C$6</f>
        <v>0</v>
      </c>
      <c r="G26" s="34">
        <f>'C15 Claude Code - The Practical'!$E$6</f>
        <v>0</v>
      </c>
      <c r="H26" s="35" t="str">
        <f>'C15 Claude Code - The Practical'!$G$6</f>
        <v/>
      </c>
      <c r="I26" s="18" t="str">
        <f t="shared" si="0"/>
        <v>Chưa bắt đầu</v>
      </c>
      <c r="J26" s="36" t="s">
        <v>1282</v>
      </c>
    </row>
    <row r="27" spans="1:14" x14ac:dyDescent="0.3">
      <c r="A27" s="18" t="s">
        <v>226</v>
      </c>
      <c r="B27" s="19" t="s">
        <v>1283</v>
      </c>
      <c r="C27" s="19" t="s">
        <v>43</v>
      </c>
      <c r="D27" s="19" t="s">
        <v>169</v>
      </c>
      <c r="E27" s="33">
        <f>'C16 khoa-hoc-vibe-coding'!$A$6</f>
        <v>12</v>
      </c>
      <c r="F27" s="33">
        <f>'C16 khoa-hoc-vibe-coding'!$C$6</f>
        <v>0</v>
      </c>
      <c r="G27" s="34">
        <f>'C16 khoa-hoc-vibe-coding'!$E$6</f>
        <v>0</v>
      </c>
      <c r="H27" s="35" t="str">
        <f>'C16 khoa-hoc-vibe-coding'!$G$6</f>
        <v/>
      </c>
      <c r="I27" s="18" t="str">
        <f t="shared" si="0"/>
        <v>Chưa bắt đầu</v>
      </c>
      <c r="J27" s="36" t="s">
        <v>1284</v>
      </c>
    </row>
    <row r="28" spans="1:14" x14ac:dyDescent="0.3">
      <c r="A28" s="18" t="s">
        <v>241</v>
      </c>
      <c r="B28" s="19" t="s">
        <v>1285</v>
      </c>
      <c r="C28" s="19" t="s">
        <v>43</v>
      </c>
      <c r="D28" s="19" t="s">
        <v>169</v>
      </c>
      <c r="E28" s="33">
        <f>'C17 Khóa Học Vibe Coding Cơ Bản'!$A$6</f>
        <v>6</v>
      </c>
      <c r="F28" s="33">
        <f>'C17 Khóa Học Vibe Coding Cơ Bản'!$C$6</f>
        <v>0</v>
      </c>
      <c r="G28" s="34">
        <f>'C17 Khóa Học Vibe Coding Cơ Bản'!$E$6</f>
        <v>0</v>
      </c>
      <c r="H28" s="35" t="str">
        <f>'C17 Khóa Học Vibe Coding Cơ Bản'!$G$6</f>
        <v/>
      </c>
      <c r="I28" s="18" t="str">
        <f t="shared" si="0"/>
        <v>Chưa bắt đầu</v>
      </c>
      <c r="J28" s="36" t="s">
        <v>1286</v>
      </c>
    </row>
    <row r="29" spans="1:14" ht="28.8" x14ac:dyDescent="0.3">
      <c r="A29" s="18" t="s">
        <v>250</v>
      </c>
      <c r="B29" s="19" t="s">
        <v>1287</v>
      </c>
      <c r="C29" s="19" t="s">
        <v>251</v>
      </c>
      <c r="D29" s="19" t="s">
        <v>252</v>
      </c>
      <c r="E29" s="33">
        <f>'C18 Backend Developer Roadmap W'!$A$6</f>
        <v>2</v>
      </c>
      <c r="F29" s="33">
        <f>'C18 Backend Developer Roadmap W'!$C$6</f>
        <v>0</v>
      </c>
      <c r="G29" s="34">
        <f>'C18 Backend Developer Roadmap W'!$E$6</f>
        <v>0</v>
      </c>
      <c r="H29" s="35" t="str">
        <f>'C18 Backend Developer Roadmap W'!$G$6</f>
        <v/>
      </c>
      <c r="I29" s="18" t="str">
        <f t="shared" si="0"/>
        <v>Chưa bắt đầu</v>
      </c>
      <c r="J29" s="36" t="s">
        <v>1288</v>
      </c>
    </row>
    <row r="30" spans="1:14" ht="28.8" x14ac:dyDescent="0.3">
      <c r="A30" s="18" t="s">
        <v>257</v>
      </c>
      <c r="B30" s="19" t="s">
        <v>1289</v>
      </c>
      <c r="C30" s="19" t="s">
        <v>251</v>
      </c>
      <c r="D30" s="19" t="s">
        <v>252</v>
      </c>
      <c r="E30" s="33">
        <f>'C19 frontend-developer-roadmap'!$A$6</f>
        <v>1</v>
      </c>
      <c r="F30" s="33">
        <f>'C19 frontend-developer-roadmap'!$C$6</f>
        <v>0</v>
      </c>
      <c r="G30" s="34">
        <f>'C19 frontend-developer-roadmap'!$E$6</f>
        <v>0</v>
      </c>
      <c r="H30" s="35" t="str">
        <f>'C19 frontend-developer-roadmap'!$G$6</f>
        <v/>
      </c>
      <c r="I30" s="18" t="str">
        <f t="shared" si="0"/>
        <v>Chưa bắt đầu</v>
      </c>
      <c r="J30" s="36" t="s">
        <v>1290</v>
      </c>
    </row>
    <row r="31" spans="1:14" ht="28.8" x14ac:dyDescent="0.3">
      <c r="A31" s="18" t="s">
        <v>261</v>
      </c>
      <c r="B31" s="19" t="s">
        <v>1291</v>
      </c>
      <c r="C31" s="19" t="s">
        <v>251</v>
      </c>
      <c r="D31" s="19" t="s">
        <v>252</v>
      </c>
      <c r="E31" s="33">
        <f>'C20 full-stack-developer-roadma'!$A$6</f>
        <v>1</v>
      </c>
      <c r="F31" s="33">
        <f>'C20 full-stack-developer-roadma'!$C$6</f>
        <v>0</v>
      </c>
      <c r="G31" s="34">
        <f>'C20 full-stack-developer-roadma'!$E$6</f>
        <v>0</v>
      </c>
      <c r="H31" s="35" t="str">
        <f>'C20 full-stack-developer-roadma'!$G$6</f>
        <v/>
      </c>
      <c r="I31" s="18" t="str">
        <f t="shared" si="0"/>
        <v>Chưa bắt đầu</v>
      </c>
      <c r="J31" s="36" t="s">
        <v>1292</v>
      </c>
    </row>
    <row r="32" spans="1:14" ht="28.8" x14ac:dyDescent="0.3">
      <c r="A32" s="18" t="s">
        <v>265</v>
      </c>
      <c r="B32" s="19" t="s">
        <v>1293</v>
      </c>
      <c r="C32" s="19" t="s">
        <v>251</v>
      </c>
      <c r="D32" s="19" t="s">
        <v>252</v>
      </c>
      <c r="E32" s="33">
        <f>'C21 NodeJS - The Complete Guide'!$A$6</f>
        <v>36</v>
      </c>
      <c r="F32" s="33">
        <f>'C21 NodeJS - The Complete Guide'!$C$6</f>
        <v>0</v>
      </c>
      <c r="G32" s="34">
        <f>'C21 NodeJS - The Complete Guide'!$E$6</f>
        <v>0</v>
      </c>
      <c r="H32" s="35" t="str">
        <f>'C21 NodeJS - The Complete Guide'!$G$6</f>
        <v/>
      </c>
      <c r="I32" s="18" t="str">
        <f t="shared" si="0"/>
        <v>Chưa bắt đầu</v>
      </c>
      <c r="J32" s="36" t="s">
        <v>1294</v>
      </c>
    </row>
    <row r="33" spans="1:10" ht="28.8" x14ac:dyDescent="0.3">
      <c r="A33" s="18" t="s">
        <v>303</v>
      </c>
      <c r="B33" s="19" t="s">
        <v>1295</v>
      </c>
      <c r="C33" s="19" t="s">
        <v>251</v>
      </c>
      <c r="D33" s="19" t="s">
        <v>252</v>
      </c>
      <c r="E33" s="33">
        <f>'C22 postgresql-dba-roadmap'!$A$6</f>
        <v>1</v>
      </c>
      <c r="F33" s="33">
        <f>'C22 postgresql-dba-roadmap'!$C$6</f>
        <v>0</v>
      </c>
      <c r="G33" s="34">
        <f>'C22 postgresql-dba-roadmap'!$E$6</f>
        <v>0</v>
      </c>
      <c r="H33" s="35" t="str">
        <f>'C22 postgresql-dba-roadmap'!$G$6</f>
        <v/>
      </c>
      <c r="I33" s="18" t="str">
        <f t="shared" si="0"/>
        <v>Chưa bắt đầu</v>
      </c>
      <c r="J33" s="36" t="s">
        <v>1296</v>
      </c>
    </row>
    <row r="34" spans="1:10" ht="28.8" x14ac:dyDescent="0.3">
      <c r="A34" s="18" t="s">
        <v>307</v>
      </c>
      <c r="B34" s="19" t="s">
        <v>1297</v>
      </c>
      <c r="C34" s="19" t="s">
        <v>251</v>
      </c>
      <c r="D34" s="19" t="s">
        <v>308</v>
      </c>
      <c r="E34" s="33">
        <f>'C23 Android Developer Roadmap C'!$A$6</f>
        <v>1</v>
      </c>
      <c r="F34" s="33">
        <f>'C23 Android Developer Roadmap C'!$C$6</f>
        <v>0</v>
      </c>
      <c r="G34" s="34">
        <f>'C23 Android Developer Roadmap C'!$E$6</f>
        <v>0</v>
      </c>
      <c r="H34" s="35" t="str">
        <f>'C23 Android Developer Roadmap C'!$G$6</f>
        <v/>
      </c>
      <c r="I34" s="18" t="str">
        <f t="shared" si="0"/>
        <v>Chưa bắt đầu</v>
      </c>
      <c r="J34" s="36" t="s">
        <v>1298</v>
      </c>
    </row>
    <row r="35" spans="1:10" ht="28.8" x14ac:dyDescent="0.3">
      <c r="A35" s="18" t="s">
        <v>312</v>
      </c>
      <c r="B35" s="19" t="s">
        <v>1299</v>
      </c>
      <c r="C35" s="19" t="s">
        <v>251</v>
      </c>
      <c r="D35" s="19" t="s">
        <v>308</v>
      </c>
      <c r="E35" s="33">
        <f>'C24 3-in-1 Flutter AI Mastercla'!$A$6</f>
        <v>22</v>
      </c>
      <c r="F35" s="33">
        <f>'C24 3-in-1 Flutter AI Mastercla'!$C$6</f>
        <v>0</v>
      </c>
      <c r="G35" s="34">
        <f>'C24 3-in-1 Flutter AI Mastercla'!$E$6</f>
        <v>0</v>
      </c>
      <c r="H35" s="35" t="str">
        <f>'C24 3-in-1 Flutter AI Mastercla'!$G$6</f>
        <v/>
      </c>
      <c r="I35" s="18" t="str">
        <f t="shared" si="0"/>
        <v>Chưa bắt đầu</v>
      </c>
      <c r="J35" s="36" t="s">
        <v>1300</v>
      </c>
    </row>
    <row r="36" spans="1:10" ht="28.8" x14ac:dyDescent="0.3">
      <c r="A36" s="18" t="s">
        <v>336</v>
      </c>
      <c r="B36" s="19" t="s">
        <v>1301</v>
      </c>
      <c r="C36" s="19" t="s">
        <v>251</v>
      </c>
      <c r="D36" s="19" t="s">
        <v>308</v>
      </c>
      <c r="E36" s="33">
        <f>'C25 Flutter &amp; Dart- The Complet'!$A$6</f>
        <v>15</v>
      </c>
      <c r="F36" s="33">
        <f>'C25 Flutter &amp; Dart- The Complet'!$C$6</f>
        <v>0</v>
      </c>
      <c r="G36" s="34">
        <f>'C25 Flutter &amp; Dart- The Complet'!$E$6</f>
        <v>0</v>
      </c>
      <c r="H36" s="35" t="str">
        <f>'C25 Flutter &amp; Dart- The Complet'!$G$6</f>
        <v/>
      </c>
      <c r="I36" s="18" t="str">
        <f t="shared" si="0"/>
        <v>Chưa bắt đầu</v>
      </c>
      <c r="J36" s="36" t="s">
        <v>1302</v>
      </c>
    </row>
    <row r="37" spans="1:10" ht="28.8" x14ac:dyDescent="0.3">
      <c r="A37" s="18" t="s">
        <v>353</v>
      </c>
      <c r="B37" s="19" t="s">
        <v>1303</v>
      </c>
      <c r="C37" s="19" t="s">
        <v>251</v>
      </c>
      <c r="D37" s="19" t="s">
        <v>308</v>
      </c>
      <c r="E37" s="33">
        <f>'C26 ios-roadmap'!$A$6</f>
        <v>1</v>
      </c>
      <c r="F37" s="33">
        <f>'C26 ios-roadmap'!$C$6</f>
        <v>0</v>
      </c>
      <c r="G37" s="34">
        <f>'C26 ios-roadmap'!$E$6</f>
        <v>0</v>
      </c>
      <c r="H37" s="35" t="str">
        <f>'C26 ios-roadmap'!$G$6</f>
        <v/>
      </c>
      <c r="I37" s="18" t="str">
        <f t="shared" si="0"/>
        <v>Chưa bắt đầu</v>
      </c>
      <c r="J37" s="36" t="s">
        <v>1304</v>
      </c>
    </row>
    <row r="38" spans="1:10" ht="28.8" x14ac:dyDescent="0.3">
      <c r="A38" s="18" t="s">
        <v>357</v>
      </c>
      <c r="B38" s="19" t="s">
        <v>1305</v>
      </c>
      <c r="C38" s="19" t="s">
        <v>251</v>
      </c>
      <c r="D38" s="19" t="s">
        <v>358</v>
      </c>
      <c r="E38" s="33">
        <f>'C27 Enterprise Integration Engi'!$A$6</f>
        <v>7</v>
      </c>
      <c r="F38" s="33">
        <f>'C27 Enterprise Integration Engi'!$C$6</f>
        <v>0</v>
      </c>
      <c r="G38" s="34">
        <f>'C27 Enterprise Integration Engi'!$E$6</f>
        <v>0</v>
      </c>
      <c r="H38" s="35" t="str">
        <f>'C27 Enterprise Integration Engi'!$G$6</f>
        <v/>
      </c>
      <c r="I38" s="18" t="str">
        <f t="shared" si="0"/>
        <v>Chưa bắt đầu</v>
      </c>
      <c r="J38" s="36" t="s">
        <v>1306</v>
      </c>
    </row>
    <row r="39" spans="1:10" ht="28.8" x14ac:dyDescent="0.3">
      <c r="A39" s="18" t="s">
        <v>368</v>
      </c>
      <c r="B39" s="19" t="s">
        <v>1307</v>
      </c>
      <c r="C39" s="19" t="s">
        <v>251</v>
      </c>
      <c r="D39" s="19" t="s">
        <v>358</v>
      </c>
      <c r="E39" s="33">
        <f>'C28 software-architect-roadmap'!$A$6</f>
        <v>1</v>
      </c>
      <c r="F39" s="33">
        <f>'C28 software-architect-roadmap'!$C$6</f>
        <v>0</v>
      </c>
      <c r="G39" s="34">
        <f>'C28 software-architect-roadmap'!$E$6</f>
        <v>0</v>
      </c>
      <c r="H39" s="35" t="str">
        <f>'C28 software-architect-roadmap'!$G$6</f>
        <v/>
      </c>
      <c r="I39" s="18" t="str">
        <f t="shared" si="0"/>
        <v>Chưa bắt đầu</v>
      </c>
      <c r="J39" s="36" t="s">
        <v>1308</v>
      </c>
    </row>
    <row r="40" spans="1:10" ht="28.8" x14ac:dyDescent="0.3">
      <c r="A40" s="18" t="s">
        <v>372</v>
      </c>
      <c r="B40" s="19" t="s">
        <v>1309</v>
      </c>
      <c r="C40" s="19" t="s">
        <v>251</v>
      </c>
      <c r="D40" s="19" t="s">
        <v>373</v>
      </c>
      <c r="E40" s="33">
        <f>'C29 qa-roadmap'!$A$6</f>
        <v>1</v>
      </c>
      <c r="F40" s="33">
        <f>'C29 qa-roadmap'!$C$6</f>
        <v>0</v>
      </c>
      <c r="G40" s="34">
        <f>'C29 qa-roadmap'!$E$6</f>
        <v>0</v>
      </c>
      <c r="H40" s="35" t="str">
        <f>'C29 qa-roadmap'!$G$6</f>
        <v/>
      </c>
      <c r="I40" s="18" t="str">
        <f t="shared" si="0"/>
        <v>Chưa bắt đầu</v>
      </c>
      <c r="J40" s="36" t="s">
        <v>1310</v>
      </c>
    </row>
    <row r="41" spans="1:10" ht="28.8" x14ac:dyDescent="0.3">
      <c r="A41" s="18" t="s">
        <v>377</v>
      </c>
      <c r="B41" s="19" t="s">
        <v>1311</v>
      </c>
      <c r="C41" s="19" t="s">
        <v>378</v>
      </c>
      <c r="D41" s="19" t="s">
        <v>379</v>
      </c>
      <c r="E41" s="33">
        <f>'C30 Fundamentals of Backend Com'!$A$6</f>
        <v>8</v>
      </c>
      <c r="F41" s="33">
        <f>'C30 Fundamentals of Backend Com'!$C$6</f>
        <v>0</v>
      </c>
      <c r="G41" s="34">
        <f>'C30 Fundamentals of Backend Com'!$E$6</f>
        <v>0</v>
      </c>
      <c r="H41" s="35" t="str">
        <f>'C30 Fundamentals of Backend Com'!$G$6</f>
        <v/>
      </c>
      <c r="I41" s="18" t="str">
        <f t="shared" si="0"/>
        <v>Chưa bắt đầu</v>
      </c>
      <c r="J41" s="36" t="s">
        <v>1312</v>
      </c>
    </row>
    <row r="42" spans="1:10" x14ac:dyDescent="0.3">
      <c r="A42" s="18" t="s">
        <v>389</v>
      </c>
      <c r="B42" s="19" t="s">
        <v>1313</v>
      </c>
      <c r="C42" s="19" t="s">
        <v>378</v>
      </c>
      <c r="D42" s="19" t="s">
        <v>379</v>
      </c>
      <c r="E42" s="33">
        <f>'C31 network-engineer-roadmap'!$A$6</f>
        <v>2</v>
      </c>
      <c r="F42" s="33">
        <f>'C31 network-engineer-roadmap'!$C$6</f>
        <v>0</v>
      </c>
      <c r="G42" s="34">
        <f>'C31 network-engineer-roadmap'!$E$6</f>
        <v>0</v>
      </c>
      <c r="H42" s="35" t="str">
        <f>'C31 network-engineer-roadmap'!$G$6</f>
        <v/>
      </c>
      <c r="I42" s="18" t="str">
        <f t="shared" si="0"/>
        <v>Chưa bắt đầu</v>
      </c>
      <c r="J42" s="36" t="s">
        <v>1314</v>
      </c>
    </row>
    <row r="43" spans="1:10" x14ac:dyDescent="0.3">
      <c r="A43" s="18" t="s">
        <v>394</v>
      </c>
      <c r="B43" s="19" t="s">
        <v>1315</v>
      </c>
      <c r="C43" s="19" t="s">
        <v>378</v>
      </c>
      <c r="D43" s="19" t="s">
        <v>395</v>
      </c>
      <c r="E43" s="33">
        <f>'C32 Cyber Security Expert Roadm'!$A$6</f>
        <v>1</v>
      </c>
      <c r="F43" s="33">
        <f>'C32 Cyber Security Expert Roadm'!$C$6</f>
        <v>0</v>
      </c>
      <c r="G43" s="34">
        <f>'C32 Cyber Security Expert Roadm'!$E$6</f>
        <v>0</v>
      </c>
      <c r="H43" s="35" t="str">
        <f>'C32 Cyber Security Expert Roadm'!$G$6</f>
        <v/>
      </c>
      <c r="I43" s="18" t="str">
        <f t="shared" si="0"/>
        <v>Chưa bắt đầu</v>
      </c>
      <c r="J43" s="36" t="s">
        <v>1316</v>
      </c>
    </row>
    <row r="44" spans="1:10" x14ac:dyDescent="0.3">
      <c r="A44" s="18" t="s">
        <v>399</v>
      </c>
      <c r="B44" s="19" t="s">
        <v>1317</v>
      </c>
      <c r="C44" s="19" t="s">
        <v>378</v>
      </c>
      <c r="D44" s="19" t="s">
        <v>395</v>
      </c>
      <c r="E44" s="33">
        <f>'C33 devsecops-roadmap'!$A$6</f>
        <v>1</v>
      </c>
      <c r="F44" s="33">
        <f>'C33 devsecops-roadmap'!$C$6</f>
        <v>0</v>
      </c>
      <c r="G44" s="34">
        <f>'C33 devsecops-roadmap'!$E$6</f>
        <v>0</v>
      </c>
      <c r="H44" s="35" t="str">
        <f>'C33 devsecops-roadmap'!$G$6</f>
        <v/>
      </c>
      <c r="I44" s="18" t="str">
        <f t="shared" ref="I44:I75" si="1">IF(E44=0,"Chưa có module",IF(F44=E44,"Đã hoàn thành",IF(F44=0,"Chưa bắt đầu","Đang học")))</f>
        <v>Chưa bắt đầu</v>
      </c>
      <c r="J44" s="36" t="s">
        <v>1318</v>
      </c>
    </row>
    <row r="45" spans="1:10" x14ac:dyDescent="0.3">
      <c r="A45" s="18" t="s">
        <v>403</v>
      </c>
      <c r="B45" s="19" t="s">
        <v>1319</v>
      </c>
      <c r="C45" s="19" t="s">
        <v>378</v>
      </c>
      <c r="D45" s="19" t="s">
        <v>404</v>
      </c>
      <c r="E45" s="33">
        <f>'C34 blockchain-roadmap'!$A$6</f>
        <v>1</v>
      </c>
      <c r="F45" s="33">
        <f>'C34 blockchain-roadmap'!$C$6</f>
        <v>0</v>
      </c>
      <c r="G45" s="34">
        <f>'C34 blockchain-roadmap'!$E$6</f>
        <v>0</v>
      </c>
      <c r="H45" s="35" t="str">
        <f>'C34 blockchain-roadmap'!$G$6</f>
        <v/>
      </c>
      <c r="I45" s="18" t="str">
        <f t="shared" si="1"/>
        <v>Chưa bắt đầu</v>
      </c>
      <c r="J45" s="36" t="s">
        <v>1320</v>
      </c>
    </row>
    <row r="46" spans="1:10" x14ac:dyDescent="0.3">
      <c r="A46" s="18" t="s">
        <v>408</v>
      </c>
      <c r="B46" s="19" t="s">
        <v>1321</v>
      </c>
      <c r="C46" s="19" t="s">
        <v>409</v>
      </c>
      <c r="D46" s="19" t="s">
        <v>410</v>
      </c>
      <c r="E46" s="33">
        <f>'C35 Build a Design System - Ful'!$A$6</f>
        <v>9</v>
      </c>
      <c r="F46" s="33">
        <f>'C35 Build a Design System - Ful'!$C$6</f>
        <v>0</v>
      </c>
      <c r="G46" s="34">
        <f>'C35 Build a Design System - Ful'!$E$6</f>
        <v>0</v>
      </c>
      <c r="H46" s="35" t="str">
        <f>'C35 Build a Design System - Ful'!$G$6</f>
        <v/>
      </c>
      <c r="I46" s="18" t="str">
        <f t="shared" si="1"/>
        <v>Chưa bắt đầu</v>
      </c>
      <c r="J46" s="36" t="s">
        <v>1322</v>
      </c>
    </row>
    <row r="47" spans="1:10" x14ac:dyDescent="0.3">
      <c r="A47" s="18" t="s">
        <v>421</v>
      </c>
      <c r="B47" s="19" t="s">
        <v>1323</v>
      </c>
      <c r="C47" s="19" t="s">
        <v>409</v>
      </c>
      <c r="D47" s="19" t="s">
        <v>410</v>
      </c>
      <c r="E47" s="33">
        <f>'C36 Design System &amp; Figma Varia'!$A$6</f>
        <v>10</v>
      </c>
      <c r="F47" s="33">
        <f>'C36 Design System &amp; Figma Varia'!$C$6</f>
        <v>0</v>
      </c>
      <c r="G47" s="34">
        <f>'C36 Design System &amp; Figma Varia'!$E$6</f>
        <v>0</v>
      </c>
      <c r="H47" s="35" t="str">
        <f>'C36 Design System &amp; Figma Varia'!$G$6</f>
        <v/>
      </c>
      <c r="I47" s="18" t="str">
        <f t="shared" si="1"/>
        <v>Chưa bắt đầu</v>
      </c>
      <c r="J47" s="36" t="s">
        <v>1324</v>
      </c>
    </row>
    <row r="48" spans="1:10" x14ac:dyDescent="0.3">
      <c r="A48" s="18" t="s">
        <v>434</v>
      </c>
      <c r="B48" s="19" t="s">
        <v>1325</v>
      </c>
      <c r="C48" s="19" t="s">
        <v>409</v>
      </c>
      <c r="D48" s="19" t="s">
        <v>410</v>
      </c>
      <c r="E48" s="33">
        <f>'C37 ux-design-roadmap'!$A$6</f>
        <v>1</v>
      </c>
      <c r="F48" s="33">
        <f>'C37 ux-design-roadmap'!$C$6</f>
        <v>0</v>
      </c>
      <c r="G48" s="34">
        <f>'C37 ux-design-roadmap'!$E$6</f>
        <v>0</v>
      </c>
      <c r="H48" s="35" t="str">
        <f>'C37 ux-design-roadmap'!$G$6</f>
        <v/>
      </c>
      <c r="I48" s="18" t="str">
        <f t="shared" si="1"/>
        <v>Chưa bắt đầu</v>
      </c>
      <c r="J48" s="36" t="s">
        <v>1326</v>
      </c>
    </row>
    <row r="49" spans="1:10" x14ac:dyDescent="0.3">
      <c r="A49" s="18" t="s">
        <v>438</v>
      </c>
      <c r="B49" s="19" t="s">
        <v>1327</v>
      </c>
      <c r="C49" s="19" t="s">
        <v>409</v>
      </c>
      <c r="D49" s="19" t="s">
        <v>410</v>
      </c>
      <c r="E49" s="33">
        <f>'C38 The Complete Vibe coding fo'!$A$6</f>
        <v>14</v>
      </c>
      <c r="F49" s="33">
        <f>'C38 The Complete Vibe coding fo'!$C$6</f>
        <v>0</v>
      </c>
      <c r="G49" s="34">
        <f>'C38 The Complete Vibe coding fo'!$E$6</f>
        <v>0</v>
      </c>
      <c r="H49" s="35" t="str">
        <f>'C38 The Complete Vibe coding fo'!$G$6</f>
        <v/>
      </c>
      <c r="I49" s="18" t="str">
        <f t="shared" si="1"/>
        <v>Chưa bắt đầu</v>
      </c>
      <c r="J49" s="36" t="s">
        <v>1328</v>
      </c>
    </row>
    <row r="50" spans="1:10" x14ac:dyDescent="0.3">
      <c r="A50" s="18" t="s">
        <v>455</v>
      </c>
      <c r="B50" s="19" t="s">
        <v>1329</v>
      </c>
      <c r="C50" s="19" t="s">
        <v>409</v>
      </c>
      <c r="D50" s="19" t="s">
        <v>456</v>
      </c>
      <c r="E50" s="33">
        <f>'C39 Claude Code + Figma MCP Ser'!$A$6</f>
        <v>1</v>
      </c>
      <c r="F50" s="33">
        <f>'C39 Claude Code + Figma MCP Ser'!$C$6</f>
        <v>0</v>
      </c>
      <c r="G50" s="34">
        <f>'C39 Claude Code + Figma MCP Ser'!$E$6</f>
        <v>0</v>
      </c>
      <c r="H50" s="35" t="str">
        <f>'C39 Claude Code + Figma MCP Ser'!$G$6</f>
        <v/>
      </c>
      <c r="I50" s="18" t="str">
        <f t="shared" si="1"/>
        <v>Chưa bắt đầu</v>
      </c>
      <c r="J50" s="36" t="s">
        <v>1330</v>
      </c>
    </row>
    <row r="51" spans="1:10" x14ac:dyDescent="0.3">
      <c r="A51" s="18" t="s">
        <v>460</v>
      </c>
      <c r="B51" s="19" t="s">
        <v>1331</v>
      </c>
      <c r="C51" s="19" t="s">
        <v>409</v>
      </c>
      <c r="D51" s="19" t="s">
        <v>456</v>
      </c>
      <c r="E51" s="33">
        <f>'C40 Design to Code with Figma M'!$A$6</f>
        <v>1</v>
      </c>
      <c r="F51" s="33">
        <f>'C40 Design to Code with Figma M'!$C$6</f>
        <v>0</v>
      </c>
      <c r="G51" s="34">
        <f>'C40 Design to Code with Figma M'!$E$6</f>
        <v>0</v>
      </c>
      <c r="H51" s="35" t="str">
        <f>'C40 Design to Code with Figma M'!$G$6</f>
        <v/>
      </c>
      <c r="I51" s="18" t="str">
        <f t="shared" si="1"/>
        <v>Chưa bắt đầu</v>
      </c>
      <c r="J51" s="36" t="s">
        <v>1332</v>
      </c>
    </row>
    <row r="52" spans="1:10" ht="28.8" x14ac:dyDescent="0.3">
      <c r="A52" s="18" t="s">
        <v>463</v>
      </c>
      <c r="B52" s="19" t="s">
        <v>1333</v>
      </c>
      <c r="C52" s="19" t="s">
        <v>409</v>
      </c>
      <c r="D52" s="19" t="s">
        <v>456</v>
      </c>
      <c r="E52" s="33">
        <f>'C41 Vibe-Coding Figma Design Sy'!$A$6</f>
        <v>1</v>
      </c>
      <c r="F52" s="33">
        <f>'C41 Vibe-Coding Figma Design Sy'!$C$6</f>
        <v>0</v>
      </c>
      <c r="G52" s="34">
        <f>'C41 Vibe-Coding Figma Design Sy'!$E$6</f>
        <v>0</v>
      </c>
      <c r="H52" s="35" t="str">
        <f>'C41 Vibe-Coding Figma Design Sy'!$G$6</f>
        <v/>
      </c>
      <c r="I52" s="18" t="str">
        <f t="shared" si="1"/>
        <v>Chưa bắt đầu</v>
      </c>
      <c r="J52" s="36" t="s">
        <v>1334</v>
      </c>
    </row>
    <row r="53" spans="1:10" x14ac:dyDescent="0.3">
      <c r="A53" s="18" t="s">
        <v>466</v>
      </c>
      <c r="B53" s="19" t="s">
        <v>1335</v>
      </c>
      <c r="C53" s="19" t="s">
        <v>409</v>
      </c>
      <c r="D53" s="19" t="s">
        <v>456</v>
      </c>
      <c r="E53" s="33">
        <f>'C42 Figma to Angular Mastery- D'!$A$6</f>
        <v>9</v>
      </c>
      <c r="F53" s="33">
        <f>'C42 Figma to Angular Mastery- D'!$C$6</f>
        <v>0</v>
      </c>
      <c r="G53" s="34">
        <f>'C42 Figma to Angular Mastery- D'!$E$6</f>
        <v>0</v>
      </c>
      <c r="H53" s="35" t="str">
        <f>'C42 Figma to Angular Mastery- D'!$G$6</f>
        <v/>
      </c>
      <c r="I53" s="18" t="str">
        <f t="shared" si="1"/>
        <v>Chưa bắt đầu</v>
      </c>
      <c r="J53" s="36" t="s">
        <v>1336</v>
      </c>
    </row>
    <row r="54" spans="1:10" ht="28.8" x14ac:dyDescent="0.3">
      <c r="A54" s="18" t="s">
        <v>478</v>
      </c>
      <c r="B54" s="19" t="s">
        <v>1337</v>
      </c>
      <c r="C54" s="19" t="s">
        <v>409</v>
      </c>
      <c r="D54" s="19" t="s">
        <v>456</v>
      </c>
      <c r="E54" s="33">
        <f>'C43 Converting Figma Designs to'!$A$6</f>
        <v>1</v>
      </c>
      <c r="F54" s="33">
        <f>'C43 Converting Figma Designs to'!$C$6</f>
        <v>0</v>
      </c>
      <c r="G54" s="34">
        <f>'C43 Converting Figma Designs to'!$E$6</f>
        <v>0</v>
      </c>
      <c r="H54" s="35" t="str">
        <f>'C43 Converting Figma Designs to'!$G$6</f>
        <v/>
      </c>
      <c r="I54" s="18" t="str">
        <f t="shared" si="1"/>
        <v>Chưa bắt đầu</v>
      </c>
      <c r="J54" s="36" t="s">
        <v>1338</v>
      </c>
    </row>
    <row r="55" spans="1:10" ht="28.8" x14ac:dyDescent="0.3">
      <c r="A55" s="18" t="s">
        <v>481</v>
      </c>
      <c r="B55" s="19" t="s">
        <v>1339</v>
      </c>
      <c r="C55" s="19" t="s">
        <v>409</v>
      </c>
      <c r="D55" s="19" t="s">
        <v>456</v>
      </c>
      <c r="E55" s="33">
        <f>'C44 From Figma to Cursor &amp; Clau'!$A$6</f>
        <v>1</v>
      </c>
      <c r="F55" s="33">
        <f>'C44 From Figma to Cursor &amp; Clau'!$C$6</f>
        <v>0</v>
      </c>
      <c r="G55" s="34">
        <f>'C44 From Figma to Cursor &amp; Clau'!$E$6</f>
        <v>0</v>
      </c>
      <c r="H55" s="35" t="str">
        <f>'C44 From Figma to Cursor &amp; Clau'!$G$6</f>
        <v/>
      </c>
      <c r="I55" s="18" t="str">
        <f t="shared" si="1"/>
        <v>Chưa bắt đầu</v>
      </c>
      <c r="J55" s="36" t="s">
        <v>1340</v>
      </c>
    </row>
    <row r="56" spans="1:10" x14ac:dyDescent="0.3">
      <c r="A56" s="18" t="s">
        <v>484</v>
      </c>
      <c r="B56" s="19" t="s">
        <v>1341</v>
      </c>
      <c r="C56" s="19" t="s">
        <v>409</v>
      </c>
      <c r="D56" s="19" t="s">
        <v>485</v>
      </c>
      <c r="E56" s="33">
        <f>'C45 01 - Blender tổng quát'!$A$6</f>
        <v>50</v>
      </c>
      <c r="F56" s="33">
        <f>'C45 01 - Blender tổng quát'!$C$6</f>
        <v>0</v>
      </c>
      <c r="G56" s="34">
        <f>'C45 01 - Blender tổng quát'!$E$6</f>
        <v>0</v>
      </c>
      <c r="H56" s="35" t="str">
        <f>'C45 01 - Blender tổng quát'!$G$6</f>
        <v/>
      </c>
      <c r="I56" s="18" t="str">
        <f t="shared" si="1"/>
        <v>Chưa bắt đầu</v>
      </c>
      <c r="J56" s="36" t="s">
        <v>1342</v>
      </c>
    </row>
    <row r="57" spans="1:10" x14ac:dyDescent="0.3">
      <c r="A57" s="18" t="s">
        <v>538</v>
      </c>
      <c r="B57" s="19" t="s">
        <v>1343</v>
      </c>
      <c r="C57" s="19" t="s">
        <v>409</v>
      </c>
      <c r="D57" s="19" t="s">
        <v>485</v>
      </c>
      <c r="E57" s="33">
        <f>'C46 02 - Animation cá trong Ble'!$A$6</f>
        <v>4</v>
      </c>
      <c r="F57" s="33">
        <f>'C46 02 - Animation cá trong Ble'!$C$6</f>
        <v>0</v>
      </c>
      <c r="G57" s="34">
        <f>'C46 02 - Animation cá trong Ble'!$E$6</f>
        <v>0</v>
      </c>
      <c r="H57" s="35" t="str">
        <f>'C46 02 - Animation cá trong Ble'!$G$6</f>
        <v/>
      </c>
      <c r="I57" s="18" t="str">
        <f t="shared" si="1"/>
        <v>Chưa bắt đầu</v>
      </c>
      <c r="J57" s="36" t="s">
        <v>1344</v>
      </c>
    </row>
    <row r="58" spans="1:10" x14ac:dyDescent="0.3">
      <c r="A58" s="18" t="s">
        <v>545</v>
      </c>
      <c r="B58" s="19" t="s">
        <v>1345</v>
      </c>
      <c r="C58" s="19" t="s">
        <v>409</v>
      </c>
      <c r="D58" s="19" t="s">
        <v>485</v>
      </c>
      <c r="E58" s="33">
        <f>'C47 03 - VFX &amp; mô phỏng Blender'!$A$6</f>
        <v>4</v>
      </c>
      <c r="F58" s="33">
        <f>'C47 03 - VFX &amp; mô phỏng Blender'!$C$6</f>
        <v>0</v>
      </c>
      <c r="G58" s="34">
        <f>'C47 03 - VFX &amp; mô phỏng Blender'!$E$6</f>
        <v>0</v>
      </c>
      <c r="H58" s="35" t="str">
        <f>'C47 03 - VFX &amp; mô phỏng Blender'!$G$6</f>
        <v/>
      </c>
      <c r="I58" s="18" t="str">
        <f t="shared" si="1"/>
        <v>Chưa bắt đầu</v>
      </c>
      <c r="J58" s="36" t="s">
        <v>1346</v>
      </c>
    </row>
    <row r="59" spans="1:10" x14ac:dyDescent="0.3">
      <c r="A59" s="18" t="s">
        <v>552</v>
      </c>
      <c r="B59" s="19" t="s">
        <v>1347</v>
      </c>
      <c r="C59" s="19" t="s">
        <v>409</v>
      </c>
      <c r="D59" s="19" t="s">
        <v>485</v>
      </c>
      <c r="E59" s="33">
        <f>'C48 04 - Giải phẫu &amp; phát triển'!$A$6</f>
        <v>12</v>
      </c>
      <c r="F59" s="33">
        <f>'C48 04 - Giải phẫu &amp; phát triển'!$C$6</f>
        <v>0</v>
      </c>
      <c r="G59" s="34">
        <f>'C48 04 - Giải phẫu &amp; phát triển'!$E$6</f>
        <v>0</v>
      </c>
      <c r="H59" s="35" t="str">
        <f>'C48 04 - Giải phẫu &amp; phát triển'!$G$6</f>
        <v/>
      </c>
      <c r="I59" s="18" t="str">
        <f t="shared" si="1"/>
        <v>Chưa bắt đầu</v>
      </c>
      <c r="J59" s="36" t="s">
        <v>1348</v>
      </c>
    </row>
    <row r="60" spans="1:10" x14ac:dyDescent="0.3">
      <c r="A60" s="18" t="s">
        <v>564</v>
      </c>
      <c r="B60" s="19" t="s">
        <v>1349</v>
      </c>
      <c r="C60" s="19" t="s">
        <v>409</v>
      </c>
      <c r="D60" s="19" t="s">
        <v>485</v>
      </c>
      <c r="E60" s="33">
        <f>'C49 05 - Cơ học &amp; thủy động lực'!$A$6</f>
        <v>19</v>
      </c>
      <c r="F60" s="33">
        <f>'C49 05 - Cơ học &amp; thủy động lực'!$C$6</f>
        <v>0</v>
      </c>
      <c r="G60" s="34">
        <f>'C49 05 - Cơ học &amp; thủy động lực'!$E$6</f>
        <v>0</v>
      </c>
      <c r="H60" s="35" t="str">
        <f>'C49 05 - Cơ học &amp; thủy động lực'!$G$6</f>
        <v/>
      </c>
      <c r="I60" s="18" t="str">
        <f t="shared" si="1"/>
        <v>Chưa bắt đầu</v>
      </c>
      <c r="J60" s="36" t="s">
        <v>1350</v>
      </c>
    </row>
    <row r="61" spans="1:10" ht="28.8" x14ac:dyDescent="0.3">
      <c r="A61" s="18" t="s">
        <v>586</v>
      </c>
      <c r="B61" s="19" t="s">
        <v>1351</v>
      </c>
      <c r="C61" s="19" t="s">
        <v>587</v>
      </c>
      <c r="D61" s="19" t="s">
        <v>588</v>
      </c>
      <c r="E61" s="33">
        <f>'C50 Complete C# Unity 2D Game D'!$A$6</f>
        <v>6</v>
      </c>
      <c r="F61" s="33">
        <f>'C50 Complete C# Unity 2D Game D'!$C$6</f>
        <v>0</v>
      </c>
      <c r="G61" s="34">
        <f>'C50 Complete C# Unity 2D Game D'!$E$6</f>
        <v>0</v>
      </c>
      <c r="H61" s="35" t="str">
        <f>'C50 Complete C# Unity 2D Game D'!$G$6</f>
        <v/>
      </c>
      <c r="I61" s="18" t="str">
        <f t="shared" si="1"/>
        <v>Chưa bắt đầu</v>
      </c>
      <c r="J61" s="36" t="s">
        <v>1352</v>
      </c>
    </row>
    <row r="62" spans="1:10" x14ac:dyDescent="0.3">
      <c r="A62" s="18" t="s">
        <v>597</v>
      </c>
      <c r="B62" s="19" t="s">
        <v>1353</v>
      </c>
      <c r="C62" s="19" t="s">
        <v>587</v>
      </c>
      <c r="D62" s="19" t="s">
        <v>588</v>
      </c>
      <c r="E62" s="33">
        <f>'C51 Complete C# Unity 3D Game D'!$A$6</f>
        <v>7</v>
      </c>
      <c r="F62" s="33">
        <f>'C51 Complete C# Unity 3D Game D'!$C$6</f>
        <v>0</v>
      </c>
      <c r="G62" s="34">
        <f>'C51 Complete C# Unity 3D Game D'!$E$6</f>
        <v>0</v>
      </c>
      <c r="H62" s="35" t="str">
        <f>'C51 Complete C# Unity 3D Game D'!$G$6</f>
        <v/>
      </c>
      <c r="I62" s="18" t="str">
        <f t="shared" si="1"/>
        <v>Chưa bắt đầu</v>
      </c>
      <c r="J62" s="36" t="s">
        <v>1354</v>
      </c>
    </row>
    <row r="63" spans="1:10" x14ac:dyDescent="0.3">
      <c r="A63" s="18" t="s">
        <v>606</v>
      </c>
      <c r="B63" s="19" t="s">
        <v>1355</v>
      </c>
      <c r="C63" s="19" t="s">
        <v>587</v>
      </c>
      <c r="D63" s="19" t="s">
        <v>607</v>
      </c>
      <c r="E63" s="33">
        <f>'C52 Mastering Ren''Py- Create Vi'!$A$6</f>
        <v>2</v>
      </c>
      <c r="F63" s="33">
        <f>'C52 Mastering Ren''Py- Create Vi'!$C$6</f>
        <v>0</v>
      </c>
      <c r="G63" s="34">
        <f>'C52 Mastering Ren''Py- Create Vi'!$E$6</f>
        <v>0</v>
      </c>
      <c r="H63" s="35" t="str">
        <f>'C52 Mastering Ren''Py- Create Vi'!$G$6</f>
        <v/>
      </c>
      <c r="I63" s="18" t="str">
        <f t="shared" si="1"/>
        <v>Chưa bắt đầu</v>
      </c>
      <c r="J63" s="36" t="s">
        <v>1356</v>
      </c>
    </row>
    <row r="64" spans="1:10" x14ac:dyDescent="0.3">
      <c r="A64" s="18" t="s">
        <v>612</v>
      </c>
      <c r="B64" s="19" t="s">
        <v>1357</v>
      </c>
      <c r="C64" s="19" t="s">
        <v>587</v>
      </c>
      <c r="D64" s="19" t="s">
        <v>607</v>
      </c>
      <c r="E64" s="33">
        <f>'C53 Python Basics for Ren''Py De'!$A$6</f>
        <v>6</v>
      </c>
      <c r="F64" s="33">
        <f>'C53 Python Basics for Ren''Py De'!$C$6</f>
        <v>0</v>
      </c>
      <c r="G64" s="34">
        <f>'C53 Python Basics for Ren''Py De'!$E$6</f>
        <v>0</v>
      </c>
      <c r="H64" s="35" t="str">
        <f>'C53 Python Basics for Ren''Py De'!$G$6</f>
        <v/>
      </c>
      <c r="I64" s="18" t="str">
        <f t="shared" si="1"/>
        <v>Chưa bắt đầu</v>
      </c>
      <c r="J64" s="36" t="s">
        <v>1358</v>
      </c>
    </row>
    <row r="65" spans="1:10" x14ac:dyDescent="0.3">
      <c r="A65" s="18" t="s">
        <v>620</v>
      </c>
      <c r="B65" s="19" t="s">
        <v>1359</v>
      </c>
      <c r="C65" s="19" t="s">
        <v>587</v>
      </c>
      <c r="D65" s="19" t="s">
        <v>607</v>
      </c>
      <c r="E65" s="33">
        <f>'C54 Ren''Py Minigames 101'!$A$6</f>
        <v>4</v>
      </c>
      <c r="F65" s="33">
        <f>'C54 Ren''Py Minigames 101'!$C$6</f>
        <v>0</v>
      </c>
      <c r="G65" s="34">
        <f>'C54 Ren''Py Minigames 101'!$E$6</f>
        <v>0</v>
      </c>
      <c r="H65" s="35" t="str">
        <f>'C54 Ren''Py Minigames 101'!$G$6</f>
        <v/>
      </c>
      <c r="I65" s="18" t="str">
        <f t="shared" si="1"/>
        <v>Chưa bắt đầu</v>
      </c>
      <c r="J65" s="36" t="s">
        <v>1360</v>
      </c>
    </row>
    <row r="66" spans="1:10" x14ac:dyDescent="0.3">
      <c r="A66" s="18" t="s">
        <v>626</v>
      </c>
      <c r="B66" s="19" t="s">
        <v>1361</v>
      </c>
      <c r="C66" s="19" t="s">
        <v>587</v>
      </c>
      <c r="D66" s="19" t="s">
        <v>627</v>
      </c>
      <c r="E66" s="33">
        <f>'C55 Indie Game Design - Build Y'!$A$6</f>
        <v>8</v>
      </c>
      <c r="F66" s="33">
        <f>'C55 Indie Game Design - Build Y'!$C$6</f>
        <v>0</v>
      </c>
      <c r="G66" s="34">
        <f>'C55 Indie Game Design - Build Y'!$E$6</f>
        <v>0</v>
      </c>
      <c r="H66" s="35" t="str">
        <f>'C55 Indie Game Design - Build Y'!$G$6</f>
        <v/>
      </c>
      <c r="I66" s="18" t="str">
        <f t="shared" si="1"/>
        <v>Chưa bắt đầu</v>
      </c>
      <c r="J66" s="36" t="s">
        <v>1362</v>
      </c>
    </row>
    <row r="67" spans="1:10" x14ac:dyDescent="0.3">
      <c r="A67" s="18" t="s">
        <v>637</v>
      </c>
      <c r="B67" s="19" t="s">
        <v>1363</v>
      </c>
      <c r="C67" s="19" t="s">
        <v>587</v>
      </c>
      <c r="D67" s="19" t="s">
        <v>638</v>
      </c>
      <c r="E67" s="33">
        <f>'C56 game-developer-roadmap'!$A$6</f>
        <v>1</v>
      </c>
      <c r="F67" s="33">
        <f>'C56 game-developer-roadmap'!$C$6</f>
        <v>0</v>
      </c>
      <c r="G67" s="34">
        <f>'C56 game-developer-roadmap'!$E$6</f>
        <v>0</v>
      </c>
      <c r="H67" s="35" t="str">
        <f>'C56 game-developer-roadmap'!$G$6</f>
        <v/>
      </c>
      <c r="I67" s="18" t="str">
        <f t="shared" si="1"/>
        <v>Chưa bắt đầu</v>
      </c>
      <c r="J67" s="36" t="s">
        <v>1364</v>
      </c>
    </row>
    <row r="68" spans="1:10" x14ac:dyDescent="0.3">
      <c r="A68" s="18" t="s">
        <v>642</v>
      </c>
      <c r="B68" s="19" t="s">
        <v>1365</v>
      </c>
      <c r="C68" s="19" t="s">
        <v>587</v>
      </c>
      <c r="D68" s="19" t="s">
        <v>638</v>
      </c>
      <c r="E68" s="33">
        <f>'C57 server-side-game-developer-'!$A$6</f>
        <v>1</v>
      </c>
      <c r="F68" s="33">
        <f>'C57 server-side-game-developer-'!$C$6</f>
        <v>0</v>
      </c>
      <c r="G68" s="34">
        <f>'C57 server-side-game-developer-'!$E$6</f>
        <v>0</v>
      </c>
      <c r="H68" s="35" t="str">
        <f>'C57 server-side-game-developer-'!$G$6</f>
        <v/>
      </c>
      <c r="I68" s="18" t="str">
        <f t="shared" si="1"/>
        <v>Chưa bắt đầu</v>
      </c>
      <c r="J68" s="36" t="s">
        <v>1366</v>
      </c>
    </row>
    <row r="69" spans="1:10" ht="28.8" x14ac:dyDescent="0.3">
      <c r="A69" s="18" t="s">
        <v>646</v>
      </c>
      <c r="B69" s="19" t="s">
        <v>1367</v>
      </c>
      <c r="C69" s="19" t="s">
        <v>587</v>
      </c>
      <c r="D69" s="19" t="s">
        <v>647</v>
      </c>
      <c r="E69" s="33">
        <f>'C58 Pixel Art Master Course - B'!$A$6</f>
        <v>20</v>
      </c>
      <c r="F69" s="33">
        <f>'C58 Pixel Art Master Course - B'!$C$6</f>
        <v>0</v>
      </c>
      <c r="G69" s="34">
        <f>'C58 Pixel Art Master Course - B'!$E$6</f>
        <v>0</v>
      </c>
      <c r="H69" s="35" t="str">
        <f>'C58 Pixel Art Master Course - B'!$G$6</f>
        <v/>
      </c>
      <c r="I69" s="18" t="str">
        <f t="shared" si="1"/>
        <v>Chưa bắt đầu</v>
      </c>
      <c r="J69" s="36" t="s">
        <v>1368</v>
      </c>
    </row>
    <row r="70" spans="1:10" ht="28.8" x14ac:dyDescent="0.3">
      <c r="A70" s="18" t="s">
        <v>669</v>
      </c>
      <c r="B70" s="19" t="s">
        <v>1369</v>
      </c>
      <c r="C70" s="19" t="s">
        <v>670</v>
      </c>
      <c r="D70" s="19" t="s">
        <v>671</v>
      </c>
      <c r="E70" s="33">
        <f>'C59 The English Master Course-'!$A$6</f>
        <v>6</v>
      </c>
      <c r="F70" s="33">
        <f>'C59 The English Master Course-'!$C$6</f>
        <v>0</v>
      </c>
      <c r="G70" s="34">
        <f>'C59 The English Master Course-'!$E$6</f>
        <v>0</v>
      </c>
      <c r="H70" s="35" t="str">
        <f>'C59 The English Master Course-'!$G$6</f>
        <v/>
      </c>
      <c r="I70" s="18" t="str">
        <f t="shared" si="1"/>
        <v>Chưa bắt đầu</v>
      </c>
      <c r="J70" s="36" t="s">
        <v>1370</v>
      </c>
    </row>
    <row r="71" spans="1:10" x14ac:dyDescent="0.3">
      <c r="A71" s="18" t="s">
        <v>680</v>
      </c>
      <c r="B71" s="19" t="s">
        <v>1371</v>
      </c>
      <c r="C71" s="19" t="s">
        <v>670</v>
      </c>
      <c r="D71" s="19" t="s">
        <v>671</v>
      </c>
      <c r="E71" s="33">
        <f>'C60 Tự học 2.000 từ vựng tiếng'!$A$6</f>
        <v>6</v>
      </c>
      <c r="F71" s="33">
        <f>'C60 Tự học 2.000 từ vựng tiếng'!$C$6</f>
        <v>0</v>
      </c>
      <c r="G71" s="34">
        <f>'C60 Tự học 2.000 từ vựng tiếng'!$E$6</f>
        <v>0</v>
      </c>
      <c r="H71" s="35" t="str">
        <f>'C60 Tự học 2.000 từ vựng tiếng'!$G$6</f>
        <v/>
      </c>
      <c r="I71" s="18" t="str">
        <f t="shared" si="1"/>
        <v>Chưa bắt đầu</v>
      </c>
      <c r="J71" s="36" t="s">
        <v>1372</v>
      </c>
    </row>
    <row r="72" spans="1:10" x14ac:dyDescent="0.3">
      <c r="A72" s="18" t="s">
        <v>689</v>
      </c>
      <c r="B72" s="19" t="s">
        <v>1373</v>
      </c>
      <c r="C72" s="19" t="s">
        <v>670</v>
      </c>
      <c r="D72" s="19" t="s">
        <v>671</v>
      </c>
      <c r="E72" s="33">
        <f>'C61 Từ vựng tiếng Anh cơ bản'!$A$6</f>
        <v>1</v>
      </c>
      <c r="F72" s="33">
        <f>'C61 Từ vựng tiếng Anh cơ bản'!$C$6</f>
        <v>0</v>
      </c>
      <c r="G72" s="34">
        <f>'C61 Từ vựng tiếng Anh cơ bản'!$E$6</f>
        <v>0</v>
      </c>
      <c r="H72" s="35" t="str">
        <f>'C61 Từ vựng tiếng Anh cơ bản'!$G$6</f>
        <v/>
      </c>
      <c r="I72" s="18" t="str">
        <f t="shared" si="1"/>
        <v>Chưa bắt đầu</v>
      </c>
      <c r="J72" s="36" t="s">
        <v>1374</v>
      </c>
    </row>
    <row r="73" spans="1:10" ht="28.8" x14ac:dyDescent="0.3">
      <c r="A73" s="18" t="s">
        <v>693</v>
      </c>
      <c r="B73" s="19" t="s">
        <v>1375</v>
      </c>
      <c r="C73" s="19" t="s">
        <v>670</v>
      </c>
      <c r="D73" s="19" t="s">
        <v>694</v>
      </c>
      <c r="E73" s="33">
        <f>'C62 Khóa học Tiếng Trung — Giáo'!$A$6</f>
        <v>6</v>
      </c>
      <c r="F73" s="33">
        <f>'C62 Khóa học Tiếng Trung — Giáo'!$C$6</f>
        <v>0</v>
      </c>
      <c r="G73" s="34">
        <f>'C62 Khóa học Tiếng Trung — Giáo'!$E$6</f>
        <v>0</v>
      </c>
      <c r="H73" s="35" t="str">
        <f>'C62 Khóa học Tiếng Trung — Giáo'!$G$6</f>
        <v/>
      </c>
      <c r="I73" s="18" t="str">
        <f t="shared" si="1"/>
        <v>Chưa bắt đầu</v>
      </c>
      <c r="J73" s="36" t="s">
        <v>1376</v>
      </c>
    </row>
    <row r="74" spans="1:10" ht="28.8" x14ac:dyDescent="0.3">
      <c r="A74" s="18" t="s">
        <v>703</v>
      </c>
      <c r="B74" s="19" t="s">
        <v>1377</v>
      </c>
      <c r="C74" s="19" t="s">
        <v>670</v>
      </c>
      <c r="D74" s="19" t="s">
        <v>694</v>
      </c>
      <c r="E74" s="33">
        <f>'C63 Mandarin Mastery Path — Tiế'!$A$6</f>
        <v>56</v>
      </c>
      <c r="F74" s="33">
        <f>'C63 Mandarin Mastery Path — Tiế'!$C$6</f>
        <v>0</v>
      </c>
      <c r="G74" s="34">
        <f>'C63 Mandarin Mastery Path — Tiế'!$E$6</f>
        <v>0</v>
      </c>
      <c r="H74" s="35" t="str">
        <f>'C63 Mandarin Mastery Path — Tiế'!$G$6</f>
        <v/>
      </c>
      <c r="I74" s="18" t="str">
        <f t="shared" si="1"/>
        <v>Chưa bắt đầu</v>
      </c>
      <c r="J74" s="36" t="s">
        <v>1378</v>
      </c>
    </row>
    <row r="75" spans="1:10" x14ac:dyDescent="0.3">
      <c r="A75" s="18" t="s">
        <v>762</v>
      </c>
      <c r="B75" s="19" t="s">
        <v>1379</v>
      </c>
      <c r="C75" s="19" t="s">
        <v>670</v>
      </c>
      <c r="D75" s="19" t="s">
        <v>763</v>
      </c>
      <c r="E75" s="33">
        <f>'C64 Learn Japanese for Beginner'!$A$6</f>
        <v>15</v>
      </c>
      <c r="F75" s="33">
        <f>'C64 Learn Japanese for Beginner'!$C$6</f>
        <v>0</v>
      </c>
      <c r="G75" s="34">
        <f>'C64 Learn Japanese for Beginner'!$E$6</f>
        <v>0</v>
      </c>
      <c r="H75" s="35" t="str">
        <f>'C64 Learn Japanese for Beginner'!$G$6</f>
        <v/>
      </c>
      <c r="I75" s="18" t="str">
        <f t="shared" si="1"/>
        <v>Chưa bắt đầu</v>
      </c>
      <c r="J75" s="36" t="s">
        <v>1380</v>
      </c>
    </row>
    <row r="76" spans="1:10" x14ac:dyDescent="0.3">
      <c r="A76" s="18" t="s">
        <v>781</v>
      </c>
      <c r="B76" s="19" t="s">
        <v>1381</v>
      </c>
      <c r="C76" s="19" t="s">
        <v>670</v>
      </c>
      <c r="D76" s="19" t="s">
        <v>782</v>
      </c>
      <c r="E76" s="33">
        <f>'C65 Complete French Course — Kh'!$A$6</f>
        <v>7</v>
      </c>
      <c r="F76" s="33">
        <f>'C65 Complete French Course — Kh'!$C$6</f>
        <v>0</v>
      </c>
      <c r="G76" s="34">
        <f>'C65 Complete French Course — Kh'!$E$6</f>
        <v>0</v>
      </c>
      <c r="H76" s="35" t="str">
        <f>'C65 Complete French Course — Kh'!$G$6</f>
        <v/>
      </c>
      <c r="I76" s="18" t="str">
        <f t="shared" ref="I76:I84" si="2">IF(E76=0,"Chưa có module",IF(F76=E76,"Đã hoàn thành",IF(F76=0,"Chưa bắt đầu","Đang học")))</f>
        <v>Chưa bắt đầu</v>
      </c>
      <c r="J76" s="36" t="s">
        <v>1382</v>
      </c>
    </row>
    <row r="77" spans="1:10" x14ac:dyDescent="0.3">
      <c r="A77" s="18" t="s">
        <v>792</v>
      </c>
      <c r="B77" s="19" t="s">
        <v>1383</v>
      </c>
      <c r="C77" s="19" t="s">
        <v>670</v>
      </c>
      <c r="D77" s="19" t="s">
        <v>793</v>
      </c>
      <c r="E77" s="33">
        <f>'C66 Tiếng Đức giao tiếp từ A1 đ'!$A$6</f>
        <v>321</v>
      </c>
      <c r="F77" s="33">
        <f>'C66 Tiếng Đức giao tiếp từ A1 đ'!$C$6</f>
        <v>0</v>
      </c>
      <c r="G77" s="34">
        <f>'C66 Tiếng Đức giao tiếp từ A1 đ'!$E$6</f>
        <v>0</v>
      </c>
      <c r="H77" s="35" t="str">
        <f>'C66 Tiếng Đức giao tiếp từ A1 đ'!$G$6</f>
        <v/>
      </c>
      <c r="I77" s="18" t="str">
        <f t="shared" si="2"/>
        <v>Chưa bắt đầu</v>
      </c>
      <c r="J77" s="36" t="s">
        <v>1384</v>
      </c>
    </row>
    <row r="78" spans="1:10" x14ac:dyDescent="0.3">
      <c r="A78" s="18" t="s">
        <v>1117</v>
      </c>
      <c r="B78" s="19" t="s">
        <v>1385</v>
      </c>
      <c r="C78" s="19" t="s">
        <v>670</v>
      </c>
      <c r="D78" s="19" t="s">
        <v>1118</v>
      </c>
      <c r="E78" s="33">
        <f>'C67 Khóa học Tiếng Hàn toàn diệ'!$A$6</f>
        <v>82</v>
      </c>
      <c r="F78" s="33">
        <f>'C67 Khóa học Tiếng Hàn toàn diệ'!$C$6</f>
        <v>0</v>
      </c>
      <c r="G78" s="34">
        <f>'C67 Khóa học Tiếng Hàn toàn diệ'!$E$6</f>
        <v>0</v>
      </c>
      <c r="H78" s="35" t="str">
        <f>'C67 Khóa học Tiếng Hàn toàn diệ'!$G$6</f>
        <v/>
      </c>
      <c r="I78" s="18" t="str">
        <f t="shared" si="2"/>
        <v>Chưa bắt đầu</v>
      </c>
      <c r="J78" s="36" t="s">
        <v>1386</v>
      </c>
    </row>
    <row r="79" spans="1:10" ht="28.8" x14ac:dyDescent="0.3">
      <c r="A79" s="18" t="s">
        <v>1203</v>
      </c>
      <c r="B79" s="19" t="s">
        <v>1387</v>
      </c>
      <c r="C79" s="19" t="s">
        <v>1204</v>
      </c>
      <c r="D79" s="19" t="s">
        <v>1205</v>
      </c>
      <c r="E79" s="33">
        <f>'C68 engineering-manager-roadmap'!$A$6</f>
        <v>1</v>
      </c>
      <c r="F79" s="33">
        <f>'C68 engineering-manager-roadmap'!$C$6</f>
        <v>0</v>
      </c>
      <c r="G79" s="34">
        <f>'C68 engineering-manager-roadmap'!$E$6</f>
        <v>0</v>
      </c>
      <c r="H79" s="35" t="str">
        <f>'C68 engineering-manager-roadmap'!$G$6</f>
        <v/>
      </c>
      <c r="I79" s="18" t="str">
        <f t="shared" si="2"/>
        <v>Chưa bắt đầu</v>
      </c>
      <c r="J79" s="36" t="s">
        <v>1388</v>
      </c>
    </row>
    <row r="80" spans="1:10" ht="28.8" x14ac:dyDescent="0.3">
      <c r="A80" s="18" t="s">
        <v>1209</v>
      </c>
      <c r="B80" s="19" t="s">
        <v>1389</v>
      </c>
      <c r="C80" s="19" t="s">
        <v>1204</v>
      </c>
      <c r="D80" s="19" t="s">
        <v>1205</v>
      </c>
      <c r="E80" s="33">
        <f>'C69 product-manager-roadmap'!$A$6</f>
        <v>2</v>
      </c>
      <c r="F80" s="33">
        <f>'C69 product-manager-roadmap'!$C$6</f>
        <v>0</v>
      </c>
      <c r="G80" s="34">
        <f>'C69 product-manager-roadmap'!$E$6</f>
        <v>0</v>
      </c>
      <c r="H80" s="35" t="str">
        <f>'C69 product-manager-roadmap'!$G$6</f>
        <v/>
      </c>
      <c r="I80" s="18" t="str">
        <f t="shared" si="2"/>
        <v>Chưa bắt đầu</v>
      </c>
      <c r="J80" s="36" t="s">
        <v>1390</v>
      </c>
    </row>
    <row r="81" spans="1:10" ht="28.8" x14ac:dyDescent="0.3">
      <c r="A81" s="18" t="s">
        <v>1214</v>
      </c>
      <c r="B81" s="19" t="s">
        <v>1391</v>
      </c>
      <c r="C81" s="19" t="s">
        <v>1204</v>
      </c>
      <c r="D81" s="19" t="s">
        <v>1215</v>
      </c>
      <c r="E81" s="33">
        <f>'C70 devrel-roadmap'!$A$6</f>
        <v>2</v>
      </c>
      <c r="F81" s="33">
        <f>'C70 devrel-roadmap'!$C$6</f>
        <v>0</v>
      </c>
      <c r="G81" s="34">
        <f>'C70 devrel-roadmap'!$E$6</f>
        <v>0</v>
      </c>
      <c r="H81" s="35" t="str">
        <f>'C70 devrel-roadmap'!$G$6</f>
        <v/>
      </c>
      <c r="I81" s="18" t="str">
        <f t="shared" si="2"/>
        <v>Chưa bắt đầu</v>
      </c>
      <c r="J81" s="36" t="s">
        <v>1392</v>
      </c>
    </row>
    <row r="82" spans="1:10" ht="28.8" x14ac:dyDescent="0.3">
      <c r="A82" s="18" t="s">
        <v>1219</v>
      </c>
      <c r="B82" s="19" t="s">
        <v>1393</v>
      </c>
      <c r="C82" s="19" t="s">
        <v>1204</v>
      </c>
      <c r="D82" s="19" t="s">
        <v>1215</v>
      </c>
      <c r="E82" s="33">
        <f>'C71 technical-writer-roadmap'!$A$6</f>
        <v>1</v>
      </c>
      <c r="F82" s="33">
        <f>'C71 technical-writer-roadmap'!$C$6</f>
        <v>0</v>
      </c>
      <c r="G82" s="34">
        <f>'C71 technical-writer-roadmap'!$E$6</f>
        <v>0</v>
      </c>
      <c r="H82" s="35" t="str">
        <f>'C71 technical-writer-roadmap'!$G$6</f>
        <v/>
      </c>
      <c r="I82" s="18" t="str">
        <f t="shared" si="2"/>
        <v>Chưa bắt đầu</v>
      </c>
      <c r="J82" s="36" t="s">
        <v>1394</v>
      </c>
    </row>
    <row r="83" spans="1:10" ht="28.8" x14ac:dyDescent="0.3">
      <c r="A83" s="18" t="s">
        <v>1223</v>
      </c>
      <c r="B83" s="19" t="s">
        <v>1395</v>
      </c>
      <c r="C83" s="19" t="s">
        <v>1224</v>
      </c>
      <c r="D83" s="19" t="s">
        <v>1225</v>
      </c>
      <c r="E83" s="33">
        <f>'C72 nutrition-masterclass-build'!$A$6</f>
        <v>10</v>
      </c>
      <c r="F83" s="33">
        <f>'C72 nutrition-masterclass-build'!$C$6</f>
        <v>0</v>
      </c>
      <c r="G83" s="34">
        <f>'C72 nutrition-masterclass-build'!$E$6</f>
        <v>0</v>
      </c>
      <c r="H83" s="35" t="str">
        <f>'C72 nutrition-masterclass-build'!$G$6</f>
        <v/>
      </c>
      <c r="I83" s="18" t="str">
        <f t="shared" si="2"/>
        <v>Chưa bắt đầu</v>
      </c>
      <c r="J83" s="36" t="s">
        <v>1396</v>
      </c>
    </row>
    <row r="84" spans="1:10" ht="28.8" x14ac:dyDescent="0.3">
      <c r="A84" s="25" t="s">
        <v>1237</v>
      </c>
      <c r="B84" s="26" t="s">
        <v>1397</v>
      </c>
      <c r="C84" s="26" t="s">
        <v>1238</v>
      </c>
      <c r="D84" s="26" t="s">
        <v>1239</v>
      </c>
      <c r="E84" s="37">
        <f>'C73 Creative Writing- How to Wr'!$A$6</f>
        <v>4</v>
      </c>
      <c r="F84" s="37">
        <f>'C73 Creative Writing- How to Wr'!$C$6</f>
        <v>0</v>
      </c>
      <c r="G84" s="38">
        <f>'C73 Creative Writing- How to Wr'!$E$6</f>
        <v>0</v>
      </c>
      <c r="H84" s="39" t="str">
        <f>'C73 Creative Writing- How to Wr'!$G$6</f>
        <v/>
      </c>
      <c r="I84" s="25" t="str">
        <f t="shared" si="2"/>
        <v>Chưa bắt đầu</v>
      </c>
      <c r="J84" s="40" t="s">
        <v>1398</v>
      </c>
    </row>
    <row r="85" spans="1:10" x14ac:dyDescent="0.3">
      <c r="A85" s="18" t="s">
        <v>1410</v>
      </c>
      <c r="B85" s="19" t="s">
        <v>1419</v>
      </c>
      <c r="C85" s="19" t="s">
        <v>670</v>
      </c>
      <c r="D85" s="19" t="s">
        <v>671</v>
      </c>
      <c r="E85" s="33">
        <f>'C74 Tự học phát âm tiếng Anh'!$A$6</f>
        <v>7</v>
      </c>
      <c r="F85" s="33">
        <f>'C74 Tự học phát âm tiếng Anh'!$C$6</f>
        <v>0</v>
      </c>
      <c r="G85" s="34">
        <f>'C74 Tự học phát âm tiếng Anh'!$E$6</f>
        <v>0</v>
      </c>
      <c r="H85" s="35" t="str">
        <f>'C74 Tự học phát âm tiếng Anh'!$G$6</f>
        <v/>
      </c>
      <c r="I85" s="18" t="str">
        <f>IF(E85=0,"Chưa có module",IF(F85=E85,"Đã hoàn thành",IF(F85=0,"Chưa bắt đầu","Đang học")))</f>
        <v>Chưa bắt đầu</v>
      </c>
      <c r="J85" s="36" t="s">
        <v>1420</v>
      </c>
    </row>
    <row r="86" spans="1:10" x14ac:dyDescent="0.3">
      <c r="A86" s="79" t="s">
        <v>1422</v>
      </c>
      <c r="B86" s="80" t="s">
        <v>1447</v>
      </c>
      <c r="C86" s="80" t="s">
        <v>670</v>
      </c>
      <c r="D86" s="80" t="s">
        <v>671</v>
      </c>
      <c r="E86" s="81">
        <f>'C75 English Pronunciation'!$A$6</f>
        <v>7</v>
      </c>
      <c r="F86" s="81">
        <f>'C75 English Pronunciation'!$C$6</f>
        <v>0</v>
      </c>
      <c r="G86" s="82">
        <f>'C75 English Pronunciation'!$E$6</f>
        <v>0</v>
      </c>
      <c r="H86" s="83" t="str">
        <f>'C75 English Pronunciation'!$G$6</f>
        <v/>
      </c>
      <c r="I86" s="79" t="str">
        <f>IF(E86=0,"Chưa có module",IF(F86=E86,"Đã hoàn thành",IF(F86=0,"Chưa bắt đầu","Đang học")))</f>
        <v>Chưa bắt đầu</v>
      </c>
      <c r="J86" s="84" t="s">
        <v>1448</v>
      </c>
    </row>
    <row r="87" spans="1:10" ht="28.8" x14ac:dyDescent="0.3">
      <c r="A87" s="79" t="s">
        <v>1432</v>
      </c>
      <c r="B87" s="80" t="s">
        <v>1449</v>
      </c>
      <c r="C87" s="80" t="s">
        <v>670</v>
      </c>
      <c r="D87" s="80" t="s">
        <v>671</v>
      </c>
      <c r="E87" s="81">
        <f>'C76 Phát âm — Kỹ năng đọc'!$A$6</f>
        <v>9</v>
      </c>
      <c r="F87" s="81">
        <f>'C76 Phát âm — Kỹ năng đọc'!$C$6</f>
        <v>0</v>
      </c>
      <c r="G87" s="82">
        <f>'C76 Phát âm — Kỹ năng đọc'!$E$6</f>
        <v>0</v>
      </c>
      <c r="H87" s="83" t="str">
        <f>'C76 Phát âm — Kỹ năng đọc'!$G$6</f>
        <v/>
      </c>
      <c r="I87" s="79" t="str">
        <f>IF(E87=0,"Chưa có module",IF(F87=E87,"Đã hoàn thành",IF(F87=0,"Chưa bắt đầu","Đang học")))</f>
        <v>Chưa bắt đầu</v>
      </c>
      <c r="J87" s="84" t="s">
        <v>1450</v>
      </c>
    </row>
    <row r="88" spans="1:10" ht="28.8" x14ac:dyDescent="0.3">
      <c r="A88" s="79" t="s">
        <v>1444</v>
      </c>
      <c r="B88" s="80" t="s">
        <v>1451</v>
      </c>
      <c r="C88" s="80" t="s">
        <v>43</v>
      </c>
      <c r="D88" s="80" t="s">
        <v>44</v>
      </c>
      <c r="E88" s="81">
        <f>'C77 AlphaAgent — Alpha Mining'!$A$6</f>
        <v>1</v>
      </c>
      <c r="F88" s="81">
        <f>'C77 AlphaAgent — Alpha Mining'!$C$6</f>
        <v>0</v>
      </c>
      <c r="G88" s="82">
        <f>'C77 AlphaAgent — Alpha Mining'!$E$6</f>
        <v>0</v>
      </c>
      <c r="H88" s="83" t="str">
        <f>'C77 AlphaAgent — Alpha Mining'!$G$6</f>
        <v/>
      </c>
      <c r="I88" s="79" t="str">
        <f>IF(E88=0,"Chưa có module",IF(F88=E88,"Đã hoàn thành",IF(F88=0,"Chưa bắt đầu","Đang học")))</f>
        <v>Chưa bắt đầu</v>
      </c>
      <c r="J88" s="84" t="s">
        <v>1452</v>
      </c>
    </row>
  </sheetData>
  <mergeCells count="15">
    <mergeCell ref="A8:O8"/>
    <mergeCell ref="A10:J10"/>
    <mergeCell ref="L10:O10"/>
    <mergeCell ref="A1:O1"/>
    <mergeCell ref="A2:O2"/>
    <mergeCell ref="A4:B4"/>
    <mergeCell ref="A5:B6"/>
    <mergeCell ref="D4:E4"/>
    <mergeCell ref="D5:E6"/>
    <mergeCell ref="G4:H4"/>
    <mergeCell ref="G5:H6"/>
    <mergeCell ref="J4:K4"/>
    <mergeCell ref="J5:K6"/>
    <mergeCell ref="M4:N4"/>
    <mergeCell ref="M5:N6"/>
  </mergeCells>
  <conditionalFormatting sqref="G12:G88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H12:H88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E49DA-44BF-43A5-B689-0572BD1D5030}">
  <sheetPr>
    <tabColor rgb="FF94A3B8"/>
  </sheetPr>
  <dimension ref="A1:H25"/>
  <sheetViews>
    <sheetView workbookViewId="0">
      <selection sqref="A1:H1"/>
    </sheetView>
  </sheetViews>
  <sheetFormatPr defaultRowHeight="14.4" x14ac:dyDescent="0.3"/>
  <cols>
    <col min="1" max="1" width="12.77734375" customWidth="1"/>
    <col min="2" max="2" width="72.77734375" customWidth="1"/>
    <col min="3" max="8" width="14.77734375" customWidth="1"/>
  </cols>
  <sheetData>
    <row r="1" spans="1:8" ht="31.95" customHeight="1" x14ac:dyDescent="0.3">
      <c r="A1" s="55" t="s">
        <v>0</v>
      </c>
      <c r="B1" s="55"/>
      <c r="C1" s="55"/>
      <c r="D1" s="55"/>
      <c r="E1" s="55"/>
      <c r="F1" s="55"/>
      <c r="G1" s="55"/>
      <c r="H1" s="55"/>
    </row>
    <row r="3" spans="1:8" x14ac:dyDescent="0.3">
      <c r="A3" s="67" t="s">
        <v>1</v>
      </c>
      <c r="B3" s="66"/>
      <c r="C3" s="66"/>
      <c r="D3" s="66"/>
      <c r="E3" s="66"/>
      <c r="F3" s="66"/>
      <c r="G3" s="66"/>
      <c r="H3" s="66"/>
    </row>
    <row r="4" spans="1:8" ht="31.95" customHeight="1" x14ac:dyDescent="0.3">
      <c r="A4" s="71" t="s">
        <v>2</v>
      </c>
      <c r="B4" s="71"/>
      <c r="C4" s="71"/>
      <c r="D4" s="71"/>
      <c r="E4" s="71"/>
      <c r="F4" s="71"/>
      <c r="G4" s="71"/>
      <c r="H4" s="71"/>
    </row>
    <row r="6" spans="1:8" x14ac:dyDescent="0.3">
      <c r="A6" s="67" t="s">
        <v>3</v>
      </c>
      <c r="B6" s="66"/>
      <c r="C6" s="66"/>
      <c r="D6" s="66"/>
      <c r="E6" s="66"/>
      <c r="F6" s="66"/>
      <c r="G6" s="66"/>
      <c r="H6" s="66"/>
    </row>
    <row r="7" spans="1:8" x14ac:dyDescent="0.3">
      <c r="A7" s="2">
        <v>1</v>
      </c>
      <c r="B7" s="1" t="s">
        <v>4</v>
      </c>
    </row>
    <row r="8" spans="1:8" ht="28.8" x14ac:dyDescent="0.3">
      <c r="A8" s="2">
        <v>2</v>
      </c>
      <c r="B8" s="1" t="s">
        <v>5</v>
      </c>
    </row>
    <row r="9" spans="1:8" x14ac:dyDescent="0.3">
      <c r="A9" s="2">
        <v>3</v>
      </c>
      <c r="B9" s="1" t="s">
        <v>6</v>
      </c>
    </row>
    <row r="10" spans="1:8" x14ac:dyDescent="0.3">
      <c r="A10" s="2">
        <v>4</v>
      </c>
      <c r="B10" s="1" t="s">
        <v>7</v>
      </c>
    </row>
    <row r="11" spans="1:8" x14ac:dyDescent="0.3">
      <c r="A11" s="2">
        <v>5</v>
      </c>
      <c r="B11" s="1" t="s">
        <v>8</v>
      </c>
    </row>
    <row r="13" spans="1:8" x14ac:dyDescent="0.3">
      <c r="A13" s="67" t="s">
        <v>9</v>
      </c>
      <c r="B13" s="66"/>
      <c r="C13" s="66"/>
      <c r="D13" s="66"/>
      <c r="E13" s="66"/>
      <c r="F13" s="66"/>
      <c r="G13" s="66"/>
      <c r="H13" s="66"/>
    </row>
    <row r="14" spans="1:8" x14ac:dyDescent="0.3">
      <c r="A14" s="3" t="s">
        <v>10</v>
      </c>
      <c r="B14" s="3"/>
    </row>
    <row r="15" spans="1:8" x14ac:dyDescent="0.3">
      <c r="A15" s="4" t="s">
        <v>11</v>
      </c>
      <c r="B15" s="4" t="s">
        <v>12</v>
      </c>
    </row>
    <row r="16" spans="1:8" x14ac:dyDescent="0.3">
      <c r="A16" s="4" t="s">
        <v>13</v>
      </c>
      <c r="B16" s="4" t="s">
        <v>14</v>
      </c>
    </row>
    <row r="17" spans="1:8" x14ac:dyDescent="0.3">
      <c r="A17" s="4" t="s">
        <v>15</v>
      </c>
      <c r="B17" s="4" t="s">
        <v>16</v>
      </c>
    </row>
    <row r="18" spans="1:8" x14ac:dyDescent="0.3">
      <c r="A18" s="4" t="s">
        <v>17</v>
      </c>
      <c r="B18" s="4" t="s">
        <v>18</v>
      </c>
    </row>
    <row r="20" spans="1:8" x14ac:dyDescent="0.3">
      <c r="A20" s="67" t="s">
        <v>19</v>
      </c>
      <c r="B20" s="66"/>
      <c r="C20" s="66"/>
      <c r="D20" s="66"/>
      <c r="E20" s="66"/>
      <c r="F20" s="66"/>
      <c r="G20" s="66"/>
      <c r="H20" s="66"/>
    </row>
    <row r="21" spans="1:8" ht="45" customHeight="1" x14ac:dyDescent="0.3">
      <c r="A21" s="70" t="s">
        <v>20</v>
      </c>
      <c r="B21" s="71"/>
      <c r="C21" s="71"/>
      <c r="D21" s="71"/>
      <c r="E21" s="71"/>
      <c r="F21" s="71"/>
      <c r="G21" s="71"/>
      <c r="H21" s="71"/>
    </row>
    <row r="22" spans="1:8" x14ac:dyDescent="0.3">
      <c r="A22" s="71"/>
      <c r="B22" s="71"/>
      <c r="C22" s="71"/>
      <c r="D22" s="71"/>
      <c r="E22" s="71"/>
      <c r="F22" s="71"/>
      <c r="G22" s="71"/>
      <c r="H22" s="71"/>
    </row>
    <row r="23" spans="1:8" x14ac:dyDescent="0.3">
      <c r="A23" s="71"/>
      <c r="B23" s="71"/>
      <c r="C23" s="71"/>
      <c r="D23" s="71"/>
      <c r="E23" s="71"/>
      <c r="F23" s="71"/>
      <c r="G23" s="71"/>
      <c r="H23" s="71"/>
    </row>
    <row r="25" spans="1:8" ht="31.95" customHeight="1" x14ac:dyDescent="0.3">
      <c r="A25" s="72" t="s">
        <v>21</v>
      </c>
      <c r="B25" s="71"/>
      <c r="C25" s="71"/>
      <c r="D25" s="71"/>
      <c r="E25" s="71"/>
      <c r="F25" s="71"/>
      <c r="G25" s="71"/>
      <c r="H25" s="71"/>
    </row>
  </sheetData>
  <mergeCells count="8">
    <mergeCell ref="A21:H23"/>
    <mergeCell ref="A25:H25"/>
    <mergeCell ref="A1:H1"/>
    <mergeCell ref="A3:H3"/>
    <mergeCell ref="A4:H4"/>
    <mergeCell ref="A6:H6"/>
    <mergeCell ref="A13:H13"/>
    <mergeCell ref="A20:H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9743B-4C39-4A57-84F8-6EAECE5D4393}">
  <sheetPr>
    <tabColor rgb="FF94A3B8"/>
  </sheetPr>
  <dimension ref="A1:H209"/>
  <sheetViews>
    <sheetView workbookViewId="0">
      <selection sqref="A1:H1"/>
    </sheetView>
  </sheetViews>
  <sheetFormatPr defaultRowHeight="14.4" x14ac:dyDescent="0.3"/>
  <cols>
    <col min="2" max="2" width="9" customWidth="1"/>
    <col min="4" max="4" width="10.88671875" customWidth="1"/>
    <col min="5" max="5" width="12" customWidth="1"/>
    <col min="6" max="6" width="10.33203125" customWidth="1"/>
    <col min="7" max="7" width="16.33203125" customWidth="1"/>
    <col min="8" max="8" width="9.109375" customWidth="1"/>
  </cols>
  <sheetData>
    <row r="1" spans="1:8" ht="23.4" x14ac:dyDescent="0.3">
      <c r="A1" s="55" t="s">
        <v>1409</v>
      </c>
      <c r="B1" s="55"/>
      <c r="C1" s="55"/>
      <c r="D1" s="55"/>
      <c r="E1" s="55"/>
      <c r="F1" s="55"/>
      <c r="G1" s="55"/>
      <c r="H1" s="55"/>
    </row>
    <row r="2" spans="1:8" x14ac:dyDescent="0.3">
      <c r="A2" s="6" t="s">
        <v>23</v>
      </c>
      <c r="B2" s="5" t="s">
        <v>1410</v>
      </c>
      <c r="C2" s="6" t="s">
        <v>25</v>
      </c>
      <c r="D2" s="5" t="s">
        <v>670</v>
      </c>
      <c r="E2" s="6" t="s">
        <v>26</v>
      </c>
      <c r="F2" s="5" t="s">
        <v>671</v>
      </c>
      <c r="G2" s="5"/>
      <c r="H2" s="5"/>
    </row>
    <row r="3" spans="1:8" x14ac:dyDescent="0.3">
      <c r="A3" s="6" t="s">
        <v>27</v>
      </c>
      <c r="B3" s="56" t="s">
        <v>1411</v>
      </c>
      <c r="C3" s="57"/>
      <c r="D3" s="57"/>
      <c r="E3" s="57"/>
      <c r="F3" s="57"/>
      <c r="G3" s="57"/>
      <c r="H3" s="57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>COUNTA(B10:B16)</f>
        <v>7</v>
      </c>
      <c r="B6" s="59"/>
      <c r="C6" s="60">
        <f>COUNTIF(D10:D16,"Đã hoàn thành")</f>
        <v>0</v>
      </c>
      <c r="D6" s="60"/>
      <c r="E6" s="61">
        <f>IFERROR(AVERAGE(E10:E16),0)</f>
        <v>0</v>
      </c>
      <c r="F6" s="61"/>
      <c r="G6" s="62" t="str">
        <f>IFERROR(AVERAGE(F10:F16),"")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33</v>
      </c>
      <c r="B8" s="64"/>
      <c r="C8" s="64"/>
      <c r="D8" s="64"/>
      <c r="E8" s="64"/>
      <c r="F8" s="64"/>
      <c r="G8" s="64"/>
      <c r="H8" s="64"/>
    </row>
    <row r="9" spans="1:8" x14ac:dyDescent="0.3">
      <c r="A9" s="7" t="s">
        <v>34</v>
      </c>
      <c r="B9" s="7" t="s">
        <v>35</v>
      </c>
      <c r="C9" s="7" t="s">
        <v>36</v>
      </c>
      <c r="D9" s="7" t="s">
        <v>10</v>
      </c>
      <c r="E9" s="7" t="s">
        <v>37</v>
      </c>
      <c r="F9" s="7" t="s">
        <v>38</v>
      </c>
      <c r="G9" s="7" t="s">
        <v>39</v>
      </c>
      <c r="H9" s="7" t="s">
        <v>40</v>
      </c>
    </row>
    <row r="10" spans="1:8" ht="30" customHeight="1" x14ac:dyDescent="0.3">
      <c r="A10" s="8">
        <f>1</f>
        <v>1</v>
      </c>
      <c r="B10" s="13" t="s">
        <v>1412</v>
      </c>
      <c r="C10" s="8">
        <f>4</f>
        <v>4</v>
      </c>
      <c r="D10" s="43" t="s">
        <v>11</v>
      </c>
      <c r="E10" s="44">
        <f>0</f>
        <v>0</v>
      </c>
      <c r="F10" s="45"/>
      <c r="G10" s="46"/>
      <c r="H10" s="47"/>
    </row>
    <row r="11" spans="1:8" ht="30" customHeight="1" x14ac:dyDescent="0.3">
      <c r="A11" s="8">
        <f>2</f>
        <v>2</v>
      </c>
      <c r="B11" s="13" t="s">
        <v>1413</v>
      </c>
      <c r="C11" s="8">
        <f>4</f>
        <v>4</v>
      </c>
      <c r="D11" s="43" t="s">
        <v>11</v>
      </c>
      <c r="E11" s="44">
        <f>0</f>
        <v>0</v>
      </c>
      <c r="F11" s="45"/>
      <c r="G11" s="46"/>
      <c r="H11" s="47"/>
    </row>
    <row r="12" spans="1:8" ht="30" customHeight="1" x14ac:dyDescent="0.3">
      <c r="A12" s="8">
        <f>3</f>
        <v>3</v>
      </c>
      <c r="B12" s="13" t="s">
        <v>1414</v>
      </c>
      <c r="C12" s="8">
        <f>7</f>
        <v>7</v>
      </c>
      <c r="D12" s="43" t="s">
        <v>11</v>
      </c>
      <c r="E12" s="44">
        <f>0</f>
        <v>0</v>
      </c>
      <c r="F12" s="45"/>
      <c r="G12" s="46"/>
      <c r="H12" s="47"/>
    </row>
    <row r="13" spans="1:8" ht="30" customHeight="1" x14ac:dyDescent="0.3">
      <c r="A13" s="8">
        <f>4</f>
        <v>4</v>
      </c>
      <c r="B13" s="13" t="s">
        <v>1415</v>
      </c>
      <c r="C13" s="8">
        <f>3</f>
        <v>3</v>
      </c>
      <c r="D13" s="43" t="s">
        <v>11</v>
      </c>
      <c r="E13" s="44">
        <f>0</f>
        <v>0</v>
      </c>
      <c r="F13" s="45"/>
      <c r="G13" s="46"/>
      <c r="H13" s="47"/>
    </row>
    <row r="14" spans="1:8" ht="30" customHeight="1" x14ac:dyDescent="0.3">
      <c r="A14" s="8">
        <f>5</f>
        <v>5</v>
      </c>
      <c r="B14" s="13" t="s">
        <v>1416</v>
      </c>
      <c r="C14" s="8">
        <f>5</f>
        <v>5</v>
      </c>
      <c r="D14" s="43" t="s">
        <v>11</v>
      </c>
      <c r="E14" s="44">
        <f>0</f>
        <v>0</v>
      </c>
      <c r="F14" s="45"/>
      <c r="G14" s="46"/>
      <c r="H14" s="47"/>
    </row>
    <row r="15" spans="1:8" ht="30" customHeight="1" x14ac:dyDescent="0.3">
      <c r="A15" s="8">
        <f>6</f>
        <v>6</v>
      </c>
      <c r="B15" s="13" t="s">
        <v>1417</v>
      </c>
      <c r="C15" s="8">
        <f>8</f>
        <v>8</v>
      </c>
      <c r="D15" s="43" t="s">
        <v>11</v>
      </c>
      <c r="E15" s="44">
        <f>0</f>
        <v>0</v>
      </c>
      <c r="F15" s="45"/>
      <c r="G15" s="46"/>
      <c r="H15" s="47"/>
    </row>
    <row r="16" spans="1:8" ht="30" customHeight="1" x14ac:dyDescent="0.3">
      <c r="A16" s="48">
        <f>7</f>
        <v>7</v>
      </c>
      <c r="B16" s="49" t="s">
        <v>1418</v>
      </c>
      <c r="C16" s="48">
        <f>1</f>
        <v>1</v>
      </c>
      <c r="D16" s="50" t="s">
        <v>11</v>
      </c>
      <c r="E16" s="51">
        <f>0</f>
        <v>0</v>
      </c>
      <c r="F16" s="52"/>
      <c r="G16" s="53"/>
      <c r="H16" s="54"/>
    </row>
    <row r="17" spans="1:8" x14ac:dyDescent="0.3">
      <c r="A17" s="8">
        <v>8</v>
      </c>
      <c r="B17" s="13"/>
      <c r="C17" s="8"/>
      <c r="D17" s="9" t="s">
        <v>11</v>
      </c>
      <c r="E17" s="10">
        <v>0</v>
      </c>
      <c r="F17" s="11"/>
      <c r="G17" s="12"/>
      <c r="H17" s="14"/>
    </row>
    <row r="18" spans="1:8" x14ac:dyDescent="0.3">
      <c r="A18" s="8">
        <v>9</v>
      </c>
      <c r="B18" s="13"/>
      <c r="C18" s="8"/>
      <c r="D18" s="9" t="s">
        <v>11</v>
      </c>
      <c r="E18" s="10">
        <v>0</v>
      </c>
      <c r="F18" s="11"/>
      <c r="G18" s="12"/>
      <c r="H18" s="14"/>
    </row>
    <row r="19" spans="1:8" x14ac:dyDescent="0.3">
      <c r="A19" s="8">
        <v>10</v>
      </c>
      <c r="B19" s="13"/>
      <c r="C19" s="8"/>
      <c r="D19" s="9" t="s">
        <v>11</v>
      </c>
      <c r="E19" s="10">
        <v>0</v>
      </c>
      <c r="F19" s="11"/>
      <c r="G19" s="12"/>
      <c r="H19" s="14"/>
    </row>
    <row r="20" spans="1:8" x14ac:dyDescent="0.3">
      <c r="A20" s="8">
        <v>11</v>
      </c>
      <c r="B20" s="13"/>
      <c r="C20" s="8"/>
      <c r="D20" s="9" t="s">
        <v>11</v>
      </c>
      <c r="E20" s="10">
        <v>0</v>
      </c>
      <c r="F20" s="11"/>
      <c r="G20" s="12"/>
      <c r="H20" s="14"/>
    </row>
    <row r="21" spans="1:8" x14ac:dyDescent="0.3">
      <c r="A21" s="8">
        <v>12</v>
      </c>
      <c r="B21" s="13"/>
      <c r="C21" s="8"/>
      <c r="D21" s="9" t="s">
        <v>11</v>
      </c>
      <c r="E21" s="10">
        <v>0</v>
      </c>
      <c r="F21" s="11"/>
      <c r="G21" s="12"/>
      <c r="H21" s="14"/>
    </row>
    <row r="22" spans="1:8" x14ac:dyDescent="0.3">
      <c r="A22" s="8">
        <v>13</v>
      </c>
      <c r="B22" s="13"/>
      <c r="C22" s="8"/>
      <c r="D22" s="9" t="s">
        <v>11</v>
      </c>
      <c r="E22" s="10">
        <v>0</v>
      </c>
      <c r="F22" s="11"/>
      <c r="G22" s="12"/>
      <c r="H22" s="14"/>
    </row>
    <row r="23" spans="1:8" x14ac:dyDescent="0.3">
      <c r="A23" s="8">
        <v>14</v>
      </c>
      <c r="B23" s="13"/>
      <c r="C23" s="8"/>
      <c r="D23" s="9" t="s">
        <v>11</v>
      </c>
      <c r="E23" s="10">
        <v>0</v>
      </c>
      <c r="F23" s="11"/>
      <c r="G23" s="12"/>
      <c r="H23" s="14"/>
    </row>
    <row r="24" spans="1:8" x14ac:dyDescent="0.3">
      <c r="A24" s="8">
        <v>15</v>
      </c>
      <c r="B24" s="13"/>
      <c r="C24" s="8"/>
      <c r="D24" s="9" t="s">
        <v>11</v>
      </c>
      <c r="E24" s="10">
        <v>0</v>
      </c>
      <c r="F24" s="11"/>
      <c r="G24" s="12"/>
      <c r="H24" s="14"/>
    </row>
    <row r="25" spans="1:8" x14ac:dyDescent="0.3">
      <c r="A25" s="8">
        <v>16</v>
      </c>
      <c r="B25" s="13"/>
      <c r="C25" s="8"/>
      <c r="D25" s="9" t="s">
        <v>11</v>
      </c>
      <c r="E25" s="10">
        <v>0</v>
      </c>
      <c r="F25" s="11"/>
      <c r="G25" s="12"/>
      <c r="H25" s="14"/>
    </row>
    <row r="26" spans="1:8" x14ac:dyDescent="0.3">
      <c r="A26" s="8">
        <v>17</v>
      </c>
      <c r="B26" s="13"/>
      <c r="C26" s="8"/>
      <c r="D26" s="9" t="s">
        <v>11</v>
      </c>
      <c r="E26" s="10">
        <v>0</v>
      </c>
      <c r="F26" s="11"/>
      <c r="G26" s="12"/>
      <c r="H26" s="14"/>
    </row>
    <row r="27" spans="1:8" x14ac:dyDescent="0.3">
      <c r="A27" s="8">
        <v>18</v>
      </c>
      <c r="B27" s="13"/>
      <c r="C27" s="8"/>
      <c r="D27" s="9" t="s">
        <v>11</v>
      </c>
      <c r="E27" s="10">
        <v>0</v>
      </c>
      <c r="F27" s="11"/>
      <c r="G27" s="12"/>
      <c r="H27" s="14"/>
    </row>
    <row r="28" spans="1:8" x14ac:dyDescent="0.3">
      <c r="A28" s="8">
        <v>19</v>
      </c>
      <c r="B28" s="13"/>
      <c r="C28" s="8"/>
      <c r="D28" s="9" t="s">
        <v>11</v>
      </c>
      <c r="E28" s="10">
        <v>0</v>
      </c>
      <c r="F28" s="11"/>
      <c r="G28" s="12"/>
      <c r="H28" s="14"/>
    </row>
    <row r="29" spans="1:8" x14ac:dyDescent="0.3">
      <c r="A29" s="8">
        <v>20</v>
      </c>
      <c r="B29" s="13"/>
      <c r="C29" s="8"/>
      <c r="D29" s="9" t="s">
        <v>11</v>
      </c>
      <c r="E29" s="10">
        <v>0</v>
      </c>
      <c r="F29" s="11"/>
      <c r="G29" s="12"/>
      <c r="H29" s="14"/>
    </row>
    <row r="30" spans="1:8" x14ac:dyDescent="0.3">
      <c r="A30" s="8">
        <v>21</v>
      </c>
      <c r="B30" s="13"/>
      <c r="C30" s="8"/>
      <c r="D30" s="9" t="s">
        <v>11</v>
      </c>
      <c r="E30" s="10">
        <v>0</v>
      </c>
      <c r="F30" s="11"/>
      <c r="G30" s="12"/>
      <c r="H30" s="14"/>
    </row>
    <row r="31" spans="1:8" x14ac:dyDescent="0.3">
      <c r="A31" s="8">
        <v>22</v>
      </c>
      <c r="B31" s="13"/>
      <c r="C31" s="8"/>
      <c r="D31" s="9" t="s">
        <v>11</v>
      </c>
      <c r="E31" s="10">
        <v>0</v>
      </c>
      <c r="F31" s="11"/>
      <c r="G31" s="12"/>
      <c r="H31" s="14"/>
    </row>
    <row r="32" spans="1:8" x14ac:dyDescent="0.3">
      <c r="A32" s="8">
        <v>23</v>
      </c>
      <c r="B32" s="13"/>
      <c r="C32" s="8"/>
      <c r="D32" s="9" t="s">
        <v>11</v>
      </c>
      <c r="E32" s="10">
        <v>0</v>
      </c>
      <c r="F32" s="11"/>
      <c r="G32" s="12"/>
      <c r="H32" s="14"/>
    </row>
    <row r="33" spans="1:8" x14ac:dyDescent="0.3">
      <c r="A33" s="8">
        <v>24</v>
      </c>
      <c r="B33" s="13"/>
      <c r="C33" s="8"/>
      <c r="D33" s="9" t="s">
        <v>11</v>
      </c>
      <c r="E33" s="10">
        <v>0</v>
      </c>
      <c r="F33" s="11"/>
      <c r="G33" s="12"/>
      <c r="H33" s="14"/>
    </row>
    <row r="34" spans="1:8" x14ac:dyDescent="0.3">
      <c r="A34" s="8">
        <v>25</v>
      </c>
      <c r="B34" s="13"/>
      <c r="C34" s="8"/>
      <c r="D34" s="9" t="s">
        <v>11</v>
      </c>
      <c r="E34" s="10">
        <v>0</v>
      </c>
      <c r="F34" s="11"/>
      <c r="G34" s="12"/>
      <c r="H34" s="14"/>
    </row>
    <row r="35" spans="1:8" x14ac:dyDescent="0.3">
      <c r="A35" s="8">
        <v>26</v>
      </c>
      <c r="B35" s="13"/>
      <c r="C35" s="8"/>
      <c r="D35" s="9" t="s">
        <v>11</v>
      </c>
      <c r="E35" s="10">
        <v>0</v>
      </c>
      <c r="F35" s="11"/>
      <c r="G35" s="12"/>
      <c r="H35" s="14"/>
    </row>
    <row r="36" spans="1:8" x14ac:dyDescent="0.3">
      <c r="A36" s="8">
        <v>27</v>
      </c>
      <c r="B36" s="13"/>
      <c r="C36" s="8"/>
      <c r="D36" s="9" t="s">
        <v>11</v>
      </c>
      <c r="E36" s="10">
        <v>0</v>
      </c>
      <c r="F36" s="11"/>
      <c r="G36" s="12"/>
      <c r="H36" s="14"/>
    </row>
    <row r="37" spans="1:8" x14ac:dyDescent="0.3">
      <c r="A37" s="8">
        <v>28</v>
      </c>
      <c r="B37" s="13"/>
      <c r="C37" s="8"/>
      <c r="D37" s="9" t="s">
        <v>11</v>
      </c>
      <c r="E37" s="10">
        <v>0</v>
      </c>
      <c r="F37" s="11"/>
      <c r="G37" s="12"/>
      <c r="H37" s="14"/>
    </row>
    <row r="38" spans="1:8" x14ac:dyDescent="0.3">
      <c r="A38" s="8">
        <v>29</v>
      </c>
      <c r="B38" s="13"/>
      <c r="C38" s="8"/>
      <c r="D38" s="9" t="s">
        <v>11</v>
      </c>
      <c r="E38" s="10">
        <v>0</v>
      </c>
      <c r="F38" s="11"/>
      <c r="G38" s="12"/>
      <c r="H38" s="14"/>
    </row>
    <row r="39" spans="1:8" x14ac:dyDescent="0.3">
      <c r="A39" s="8">
        <v>30</v>
      </c>
      <c r="B39" s="13"/>
      <c r="C39" s="8"/>
      <c r="D39" s="9" t="s">
        <v>11</v>
      </c>
      <c r="E39" s="10">
        <v>0</v>
      </c>
      <c r="F39" s="11"/>
      <c r="G39" s="12"/>
      <c r="H39" s="14"/>
    </row>
    <row r="40" spans="1:8" x14ac:dyDescent="0.3">
      <c r="A40" s="8">
        <v>31</v>
      </c>
      <c r="B40" s="13"/>
      <c r="C40" s="8"/>
      <c r="D40" s="9" t="s">
        <v>11</v>
      </c>
      <c r="E40" s="10">
        <v>0</v>
      </c>
      <c r="F40" s="11"/>
      <c r="G40" s="12"/>
      <c r="H40" s="14"/>
    </row>
    <row r="41" spans="1:8" x14ac:dyDescent="0.3">
      <c r="A41" s="8">
        <v>32</v>
      </c>
      <c r="B41" s="13"/>
      <c r="C41" s="8"/>
      <c r="D41" s="9" t="s">
        <v>11</v>
      </c>
      <c r="E41" s="10">
        <v>0</v>
      </c>
      <c r="F41" s="11"/>
      <c r="G41" s="12"/>
      <c r="H41" s="14"/>
    </row>
    <row r="42" spans="1:8" x14ac:dyDescent="0.3">
      <c r="A42" s="8">
        <v>33</v>
      </c>
      <c r="B42" s="13"/>
      <c r="C42" s="8"/>
      <c r="D42" s="9" t="s">
        <v>11</v>
      </c>
      <c r="E42" s="10">
        <v>0</v>
      </c>
      <c r="F42" s="11"/>
      <c r="G42" s="12"/>
      <c r="H42" s="14"/>
    </row>
    <row r="43" spans="1:8" x14ac:dyDescent="0.3">
      <c r="A43" s="8">
        <v>34</v>
      </c>
      <c r="B43" s="13"/>
      <c r="C43" s="8"/>
      <c r="D43" s="9" t="s">
        <v>11</v>
      </c>
      <c r="E43" s="10">
        <v>0</v>
      </c>
      <c r="F43" s="11"/>
      <c r="G43" s="12"/>
      <c r="H43" s="14"/>
    </row>
    <row r="44" spans="1:8" x14ac:dyDescent="0.3">
      <c r="A44" s="8">
        <v>35</v>
      </c>
      <c r="B44" s="13"/>
      <c r="C44" s="8"/>
      <c r="D44" s="9" t="s">
        <v>11</v>
      </c>
      <c r="E44" s="10">
        <v>0</v>
      </c>
      <c r="F44" s="11"/>
      <c r="G44" s="12"/>
      <c r="H44" s="14"/>
    </row>
    <row r="45" spans="1:8" x14ac:dyDescent="0.3">
      <c r="A45" s="8">
        <v>36</v>
      </c>
      <c r="B45" s="13"/>
      <c r="C45" s="8"/>
      <c r="D45" s="9" t="s">
        <v>11</v>
      </c>
      <c r="E45" s="10">
        <v>0</v>
      </c>
      <c r="F45" s="11"/>
      <c r="G45" s="12"/>
      <c r="H45" s="14"/>
    </row>
    <row r="46" spans="1:8" x14ac:dyDescent="0.3">
      <c r="A46" s="8">
        <v>37</v>
      </c>
      <c r="B46" s="13"/>
      <c r="C46" s="8"/>
      <c r="D46" s="9" t="s">
        <v>11</v>
      </c>
      <c r="E46" s="10">
        <v>0</v>
      </c>
      <c r="F46" s="11"/>
      <c r="G46" s="12"/>
      <c r="H46" s="14"/>
    </row>
    <row r="47" spans="1:8" x14ac:dyDescent="0.3">
      <c r="A47" s="8">
        <v>38</v>
      </c>
      <c r="B47" s="13"/>
      <c r="C47" s="8"/>
      <c r="D47" s="9" t="s">
        <v>11</v>
      </c>
      <c r="E47" s="10">
        <v>0</v>
      </c>
      <c r="F47" s="11"/>
      <c r="G47" s="12"/>
      <c r="H47" s="14"/>
    </row>
    <row r="48" spans="1:8" x14ac:dyDescent="0.3">
      <c r="A48" s="8">
        <v>39</v>
      </c>
      <c r="B48" s="13"/>
      <c r="C48" s="8"/>
      <c r="D48" s="9" t="s">
        <v>11</v>
      </c>
      <c r="E48" s="10">
        <v>0</v>
      </c>
      <c r="F48" s="11"/>
      <c r="G48" s="12"/>
      <c r="H48" s="14"/>
    </row>
    <row r="49" spans="1:8" x14ac:dyDescent="0.3">
      <c r="A49" s="8">
        <v>40</v>
      </c>
      <c r="B49" s="13"/>
      <c r="C49" s="8"/>
      <c r="D49" s="9" t="s">
        <v>11</v>
      </c>
      <c r="E49" s="10">
        <v>0</v>
      </c>
      <c r="F49" s="11"/>
      <c r="G49" s="12"/>
      <c r="H49" s="14"/>
    </row>
    <row r="50" spans="1:8" x14ac:dyDescent="0.3">
      <c r="A50" s="8">
        <v>41</v>
      </c>
      <c r="B50" s="13"/>
      <c r="C50" s="8"/>
      <c r="D50" s="9" t="s">
        <v>11</v>
      </c>
      <c r="E50" s="10">
        <v>0</v>
      </c>
      <c r="F50" s="11"/>
      <c r="G50" s="12"/>
      <c r="H50" s="14"/>
    </row>
    <row r="51" spans="1:8" x14ac:dyDescent="0.3">
      <c r="A51" s="8">
        <v>42</v>
      </c>
      <c r="B51" s="13"/>
      <c r="C51" s="8"/>
      <c r="D51" s="9" t="s">
        <v>11</v>
      </c>
      <c r="E51" s="10">
        <v>0</v>
      </c>
      <c r="F51" s="11"/>
      <c r="G51" s="12"/>
      <c r="H51" s="14"/>
    </row>
    <row r="52" spans="1:8" x14ac:dyDescent="0.3">
      <c r="A52" s="8">
        <v>43</v>
      </c>
      <c r="B52" s="13"/>
      <c r="C52" s="8"/>
      <c r="D52" s="9" t="s">
        <v>11</v>
      </c>
      <c r="E52" s="10">
        <v>0</v>
      </c>
      <c r="F52" s="11"/>
      <c r="G52" s="12"/>
      <c r="H52" s="14"/>
    </row>
    <row r="53" spans="1:8" x14ac:dyDescent="0.3">
      <c r="A53" s="8">
        <v>44</v>
      </c>
      <c r="B53" s="13"/>
      <c r="C53" s="8"/>
      <c r="D53" s="9" t="s">
        <v>11</v>
      </c>
      <c r="E53" s="10">
        <v>0</v>
      </c>
      <c r="F53" s="11"/>
      <c r="G53" s="12"/>
      <c r="H53" s="14"/>
    </row>
    <row r="54" spans="1:8" x14ac:dyDescent="0.3">
      <c r="A54" s="8">
        <v>45</v>
      </c>
      <c r="B54" s="13"/>
      <c r="C54" s="8"/>
      <c r="D54" s="9" t="s">
        <v>11</v>
      </c>
      <c r="E54" s="10">
        <v>0</v>
      </c>
      <c r="F54" s="11"/>
      <c r="G54" s="12"/>
      <c r="H54" s="14"/>
    </row>
    <row r="55" spans="1:8" x14ac:dyDescent="0.3">
      <c r="A55" s="8">
        <v>46</v>
      </c>
      <c r="B55" s="13"/>
      <c r="C55" s="8"/>
      <c r="D55" s="9" t="s">
        <v>11</v>
      </c>
      <c r="E55" s="10">
        <v>0</v>
      </c>
      <c r="F55" s="11"/>
      <c r="G55" s="12"/>
      <c r="H55" s="14"/>
    </row>
    <row r="56" spans="1:8" x14ac:dyDescent="0.3">
      <c r="A56" s="8">
        <v>47</v>
      </c>
      <c r="B56" s="13"/>
      <c r="C56" s="8"/>
      <c r="D56" s="9" t="s">
        <v>11</v>
      </c>
      <c r="E56" s="10">
        <v>0</v>
      </c>
      <c r="F56" s="11"/>
      <c r="G56" s="12"/>
      <c r="H56" s="14"/>
    </row>
    <row r="57" spans="1:8" x14ac:dyDescent="0.3">
      <c r="A57" s="8">
        <v>48</v>
      </c>
      <c r="B57" s="13"/>
      <c r="C57" s="8"/>
      <c r="D57" s="9" t="s">
        <v>11</v>
      </c>
      <c r="E57" s="10">
        <v>0</v>
      </c>
      <c r="F57" s="11"/>
      <c r="G57" s="12"/>
      <c r="H57" s="14"/>
    </row>
    <row r="58" spans="1:8" x14ac:dyDescent="0.3">
      <c r="A58" s="8">
        <v>49</v>
      </c>
      <c r="B58" s="13"/>
      <c r="C58" s="8"/>
      <c r="D58" s="9" t="s">
        <v>11</v>
      </c>
      <c r="E58" s="10">
        <v>0</v>
      </c>
      <c r="F58" s="11"/>
      <c r="G58" s="12"/>
      <c r="H58" s="14"/>
    </row>
    <row r="59" spans="1:8" x14ac:dyDescent="0.3">
      <c r="A59" s="8">
        <v>50</v>
      </c>
      <c r="B59" s="13"/>
      <c r="C59" s="8"/>
      <c r="D59" s="9" t="s">
        <v>11</v>
      </c>
      <c r="E59" s="10">
        <v>0</v>
      </c>
      <c r="F59" s="11"/>
      <c r="G59" s="12"/>
      <c r="H59" s="14"/>
    </row>
    <row r="60" spans="1:8" x14ac:dyDescent="0.3">
      <c r="A60" s="8">
        <v>51</v>
      </c>
      <c r="B60" s="13"/>
      <c r="C60" s="8"/>
      <c r="D60" s="9" t="s">
        <v>11</v>
      </c>
      <c r="E60" s="10">
        <v>0</v>
      </c>
      <c r="F60" s="11"/>
      <c r="G60" s="12"/>
      <c r="H60" s="14"/>
    </row>
    <row r="61" spans="1:8" x14ac:dyDescent="0.3">
      <c r="A61" s="8">
        <v>52</v>
      </c>
      <c r="B61" s="13"/>
      <c r="C61" s="8"/>
      <c r="D61" s="9" t="s">
        <v>11</v>
      </c>
      <c r="E61" s="10">
        <v>0</v>
      </c>
      <c r="F61" s="11"/>
      <c r="G61" s="12"/>
      <c r="H61" s="14"/>
    </row>
    <row r="62" spans="1:8" x14ac:dyDescent="0.3">
      <c r="A62" s="8">
        <v>53</v>
      </c>
      <c r="B62" s="13"/>
      <c r="C62" s="8"/>
      <c r="D62" s="9" t="s">
        <v>11</v>
      </c>
      <c r="E62" s="10">
        <v>0</v>
      </c>
      <c r="F62" s="11"/>
      <c r="G62" s="12"/>
      <c r="H62" s="14"/>
    </row>
    <row r="63" spans="1:8" x14ac:dyDescent="0.3">
      <c r="A63" s="8">
        <v>54</v>
      </c>
      <c r="B63" s="13"/>
      <c r="C63" s="8"/>
      <c r="D63" s="9" t="s">
        <v>11</v>
      </c>
      <c r="E63" s="10">
        <v>0</v>
      </c>
      <c r="F63" s="11"/>
      <c r="G63" s="12"/>
      <c r="H63" s="14"/>
    </row>
    <row r="64" spans="1:8" x14ac:dyDescent="0.3">
      <c r="A64" s="8">
        <v>55</v>
      </c>
      <c r="B64" s="13"/>
      <c r="C64" s="8"/>
      <c r="D64" s="9" t="s">
        <v>11</v>
      </c>
      <c r="E64" s="10">
        <v>0</v>
      </c>
      <c r="F64" s="11"/>
      <c r="G64" s="12"/>
      <c r="H64" s="14"/>
    </row>
    <row r="65" spans="1:8" x14ac:dyDescent="0.3">
      <c r="A65" s="8">
        <v>56</v>
      </c>
      <c r="B65" s="13"/>
      <c r="C65" s="8"/>
      <c r="D65" s="9" t="s">
        <v>11</v>
      </c>
      <c r="E65" s="10">
        <v>0</v>
      </c>
      <c r="F65" s="11"/>
      <c r="G65" s="12"/>
      <c r="H65" s="14"/>
    </row>
    <row r="66" spans="1:8" x14ac:dyDescent="0.3">
      <c r="A66" s="8">
        <v>57</v>
      </c>
      <c r="B66" s="13"/>
      <c r="C66" s="8"/>
      <c r="D66" s="9" t="s">
        <v>11</v>
      </c>
      <c r="E66" s="10">
        <v>0</v>
      </c>
      <c r="F66" s="11"/>
      <c r="G66" s="12"/>
      <c r="H66" s="14"/>
    </row>
    <row r="67" spans="1:8" x14ac:dyDescent="0.3">
      <c r="A67" s="8">
        <v>58</v>
      </c>
      <c r="B67" s="13"/>
      <c r="C67" s="8"/>
      <c r="D67" s="9" t="s">
        <v>11</v>
      </c>
      <c r="E67" s="10">
        <v>0</v>
      </c>
      <c r="F67" s="11"/>
      <c r="G67" s="12"/>
      <c r="H67" s="14"/>
    </row>
    <row r="68" spans="1:8" x14ac:dyDescent="0.3">
      <c r="A68" s="8">
        <v>59</v>
      </c>
      <c r="B68" s="13"/>
      <c r="C68" s="8"/>
      <c r="D68" s="9" t="s">
        <v>11</v>
      </c>
      <c r="E68" s="10">
        <v>0</v>
      </c>
      <c r="F68" s="11"/>
      <c r="G68" s="12"/>
      <c r="H68" s="14"/>
    </row>
    <row r="69" spans="1:8" x14ac:dyDescent="0.3">
      <c r="A69" s="8">
        <v>60</v>
      </c>
      <c r="B69" s="13"/>
      <c r="C69" s="8"/>
      <c r="D69" s="9" t="s">
        <v>11</v>
      </c>
      <c r="E69" s="10">
        <v>0</v>
      </c>
      <c r="F69" s="11"/>
      <c r="G69" s="12"/>
      <c r="H69" s="14"/>
    </row>
    <row r="70" spans="1:8" x14ac:dyDescent="0.3">
      <c r="A70" s="8">
        <v>61</v>
      </c>
      <c r="B70" s="13"/>
      <c r="C70" s="8"/>
      <c r="D70" s="9" t="s">
        <v>11</v>
      </c>
      <c r="E70" s="10">
        <v>0</v>
      </c>
      <c r="F70" s="11"/>
      <c r="G70" s="12"/>
      <c r="H70" s="14"/>
    </row>
    <row r="71" spans="1:8" x14ac:dyDescent="0.3">
      <c r="A71" s="8">
        <v>62</v>
      </c>
      <c r="B71" s="13"/>
      <c r="C71" s="8"/>
      <c r="D71" s="9" t="s">
        <v>11</v>
      </c>
      <c r="E71" s="10">
        <v>0</v>
      </c>
      <c r="F71" s="11"/>
      <c r="G71" s="12"/>
      <c r="H71" s="14"/>
    </row>
    <row r="72" spans="1:8" x14ac:dyDescent="0.3">
      <c r="A72" s="8">
        <v>63</v>
      </c>
      <c r="B72" s="13"/>
      <c r="C72" s="8"/>
      <c r="D72" s="9" t="s">
        <v>11</v>
      </c>
      <c r="E72" s="10">
        <v>0</v>
      </c>
      <c r="F72" s="11"/>
      <c r="G72" s="12"/>
      <c r="H72" s="14"/>
    </row>
    <row r="73" spans="1:8" x14ac:dyDescent="0.3">
      <c r="A73" s="8">
        <v>64</v>
      </c>
      <c r="B73" s="13"/>
      <c r="C73" s="8"/>
      <c r="D73" s="9" t="s">
        <v>11</v>
      </c>
      <c r="E73" s="10">
        <v>0</v>
      </c>
      <c r="F73" s="11"/>
      <c r="G73" s="12"/>
      <c r="H73" s="14"/>
    </row>
    <row r="74" spans="1:8" x14ac:dyDescent="0.3">
      <c r="A74" s="8">
        <v>65</v>
      </c>
      <c r="B74" s="13"/>
      <c r="C74" s="8"/>
      <c r="D74" s="9" t="s">
        <v>11</v>
      </c>
      <c r="E74" s="10">
        <v>0</v>
      </c>
      <c r="F74" s="11"/>
      <c r="G74" s="12"/>
      <c r="H74" s="14"/>
    </row>
    <row r="75" spans="1:8" x14ac:dyDescent="0.3">
      <c r="A75" s="8">
        <v>66</v>
      </c>
      <c r="B75" s="13"/>
      <c r="C75" s="8"/>
      <c r="D75" s="9" t="s">
        <v>11</v>
      </c>
      <c r="E75" s="10">
        <v>0</v>
      </c>
      <c r="F75" s="11"/>
      <c r="G75" s="12"/>
      <c r="H75" s="14"/>
    </row>
    <row r="76" spans="1:8" x14ac:dyDescent="0.3">
      <c r="A76" s="8">
        <v>67</v>
      </c>
      <c r="B76" s="13"/>
      <c r="C76" s="8"/>
      <c r="D76" s="9" t="s">
        <v>11</v>
      </c>
      <c r="E76" s="10">
        <v>0</v>
      </c>
      <c r="F76" s="11"/>
      <c r="G76" s="12"/>
      <c r="H76" s="14"/>
    </row>
    <row r="77" spans="1:8" x14ac:dyDescent="0.3">
      <c r="A77" s="8">
        <v>68</v>
      </c>
      <c r="B77" s="13"/>
      <c r="C77" s="8"/>
      <c r="D77" s="9" t="s">
        <v>11</v>
      </c>
      <c r="E77" s="10">
        <v>0</v>
      </c>
      <c r="F77" s="11"/>
      <c r="G77" s="12"/>
      <c r="H77" s="14"/>
    </row>
    <row r="78" spans="1:8" x14ac:dyDescent="0.3">
      <c r="A78" s="8">
        <v>69</v>
      </c>
      <c r="B78" s="13"/>
      <c r="C78" s="8"/>
      <c r="D78" s="9" t="s">
        <v>11</v>
      </c>
      <c r="E78" s="10">
        <v>0</v>
      </c>
      <c r="F78" s="11"/>
      <c r="G78" s="12"/>
      <c r="H78" s="14"/>
    </row>
    <row r="79" spans="1:8" x14ac:dyDescent="0.3">
      <c r="A79" s="8">
        <v>70</v>
      </c>
      <c r="B79" s="13"/>
      <c r="C79" s="8"/>
      <c r="D79" s="9" t="s">
        <v>11</v>
      </c>
      <c r="E79" s="10">
        <v>0</v>
      </c>
      <c r="F79" s="11"/>
      <c r="G79" s="12"/>
      <c r="H79" s="14"/>
    </row>
    <row r="80" spans="1:8" x14ac:dyDescent="0.3">
      <c r="A80" s="8">
        <v>71</v>
      </c>
      <c r="B80" s="13"/>
      <c r="C80" s="8"/>
      <c r="D80" s="9" t="s">
        <v>11</v>
      </c>
      <c r="E80" s="10">
        <v>0</v>
      </c>
      <c r="F80" s="11"/>
      <c r="G80" s="12"/>
      <c r="H80" s="14"/>
    </row>
    <row r="81" spans="1:8" x14ac:dyDescent="0.3">
      <c r="A81" s="8">
        <v>72</v>
      </c>
      <c r="B81" s="13"/>
      <c r="C81" s="8"/>
      <c r="D81" s="9" t="s">
        <v>11</v>
      </c>
      <c r="E81" s="10">
        <v>0</v>
      </c>
      <c r="F81" s="11"/>
      <c r="G81" s="12"/>
      <c r="H81" s="14"/>
    </row>
    <row r="82" spans="1:8" x14ac:dyDescent="0.3">
      <c r="A82" s="8">
        <v>73</v>
      </c>
      <c r="B82" s="13"/>
      <c r="C82" s="8"/>
      <c r="D82" s="9" t="s">
        <v>11</v>
      </c>
      <c r="E82" s="10">
        <v>0</v>
      </c>
      <c r="F82" s="11"/>
      <c r="G82" s="12"/>
      <c r="H82" s="14"/>
    </row>
    <row r="83" spans="1:8" x14ac:dyDescent="0.3">
      <c r="A83" s="8">
        <v>74</v>
      </c>
      <c r="B83" s="13"/>
      <c r="C83" s="8"/>
      <c r="D83" s="9" t="s">
        <v>11</v>
      </c>
      <c r="E83" s="10">
        <v>0</v>
      </c>
      <c r="F83" s="11"/>
      <c r="G83" s="12"/>
      <c r="H83" s="14"/>
    </row>
    <row r="84" spans="1:8" x14ac:dyDescent="0.3">
      <c r="A84" s="8">
        <v>75</v>
      </c>
      <c r="B84" s="13"/>
      <c r="C84" s="8"/>
      <c r="D84" s="9" t="s">
        <v>11</v>
      </c>
      <c r="E84" s="10">
        <v>0</v>
      </c>
      <c r="F84" s="11"/>
      <c r="G84" s="12"/>
      <c r="H84" s="14"/>
    </row>
    <row r="85" spans="1:8" x14ac:dyDescent="0.3">
      <c r="A85" s="8">
        <v>76</v>
      </c>
      <c r="B85" s="13"/>
      <c r="C85" s="8"/>
      <c r="D85" s="9" t="s">
        <v>11</v>
      </c>
      <c r="E85" s="10">
        <v>0</v>
      </c>
      <c r="F85" s="11"/>
      <c r="G85" s="12"/>
      <c r="H85" s="14"/>
    </row>
    <row r="86" spans="1:8" x14ac:dyDescent="0.3">
      <c r="A86" s="8">
        <v>77</v>
      </c>
      <c r="B86" s="13"/>
      <c r="C86" s="8"/>
      <c r="D86" s="9" t="s">
        <v>11</v>
      </c>
      <c r="E86" s="10">
        <v>0</v>
      </c>
      <c r="F86" s="11"/>
      <c r="G86" s="12"/>
      <c r="H86" s="14"/>
    </row>
    <row r="87" spans="1:8" x14ac:dyDescent="0.3">
      <c r="A87" s="8">
        <v>78</v>
      </c>
      <c r="B87" s="13"/>
      <c r="C87" s="8"/>
      <c r="D87" s="9" t="s">
        <v>11</v>
      </c>
      <c r="E87" s="10">
        <v>0</v>
      </c>
      <c r="F87" s="11"/>
      <c r="G87" s="12"/>
      <c r="H87" s="14"/>
    </row>
    <row r="88" spans="1:8" x14ac:dyDescent="0.3">
      <c r="A88" s="8">
        <v>79</v>
      </c>
      <c r="B88" s="13"/>
      <c r="C88" s="8"/>
      <c r="D88" s="9" t="s">
        <v>11</v>
      </c>
      <c r="E88" s="10">
        <v>0</v>
      </c>
      <c r="F88" s="11"/>
      <c r="G88" s="12"/>
      <c r="H88" s="14"/>
    </row>
    <row r="89" spans="1:8" x14ac:dyDescent="0.3">
      <c r="A89" s="8">
        <v>80</v>
      </c>
      <c r="B89" s="13"/>
      <c r="C89" s="8"/>
      <c r="D89" s="9" t="s">
        <v>11</v>
      </c>
      <c r="E89" s="10">
        <v>0</v>
      </c>
      <c r="F89" s="11"/>
      <c r="G89" s="12"/>
      <c r="H89" s="14"/>
    </row>
    <row r="90" spans="1:8" x14ac:dyDescent="0.3">
      <c r="A90" s="8">
        <v>81</v>
      </c>
      <c r="B90" s="13"/>
      <c r="C90" s="8"/>
      <c r="D90" s="9" t="s">
        <v>11</v>
      </c>
      <c r="E90" s="10">
        <v>0</v>
      </c>
      <c r="F90" s="11"/>
      <c r="G90" s="12"/>
      <c r="H90" s="14"/>
    </row>
    <row r="91" spans="1:8" x14ac:dyDescent="0.3">
      <c r="A91" s="8">
        <v>82</v>
      </c>
      <c r="B91" s="13"/>
      <c r="C91" s="8"/>
      <c r="D91" s="9" t="s">
        <v>11</v>
      </c>
      <c r="E91" s="10">
        <v>0</v>
      </c>
      <c r="F91" s="11"/>
      <c r="G91" s="12"/>
      <c r="H91" s="14"/>
    </row>
    <row r="92" spans="1:8" x14ac:dyDescent="0.3">
      <c r="A92" s="8">
        <v>83</v>
      </c>
      <c r="B92" s="13"/>
      <c r="C92" s="8"/>
      <c r="D92" s="9" t="s">
        <v>11</v>
      </c>
      <c r="E92" s="10">
        <v>0</v>
      </c>
      <c r="F92" s="11"/>
      <c r="G92" s="12"/>
      <c r="H92" s="14"/>
    </row>
    <row r="93" spans="1:8" x14ac:dyDescent="0.3">
      <c r="A93" s="8">
        <v>84</v>
      </c>
      <c r="B93" s="13"/>
      <c r="C93" s="8"/>
      <c r="D93" s="9" t="s">
        <v>11</v>
      </c>
      <c r="E93" s="10">
        <v>0</v>
      </c>
      <c r="F93" s="11"/>
      <c r="G93" s="12"/>
      <c r="H93" s="14"/>
    </row>
    <row r="94" spans="1:8" x14ac:dyDescent="0.3">
      <c r="A94" s="8">
        <v>85</v>
      </c>
      <c r="B94" s="13"/>
      <c r="C94" s="8"/>
      <c r="D94" s="9" t="s">
        <v>11</v>
      </c>
      <c r="E94" s="10">
        <v>0</v>
      </c>
      <c r="F94" s="11"/>
      <c r="G94" s="12"/>
      <c r="H94" s="14"/>
    </row>
    <row r="95" spans="1:8" x14ac:dyDescent="0.3">
      <c r="A95" s="8">
        <v>86</v>
      </c>
      <c r="B95" s="13"/>
      <c r="C95" s="8"/>
      <c r="D95" s="9" t="s">
        <v>11</v>
      </c>
      <c r="E95" s="10">
        <v>0</v>
      </c>
      <c r="F95" s="11"/>
      <c r="G95" s="12"/>
      <c r="H95" s="14"/>
    </row>
    <row r="96" spans="1:8" x14ac:dyDescent="0.3">
      <c r="A96" s="8">
        <v>87</v>
      </c>
      <c r="B96" s="13"/>
      <c r="C96" s="8"/>
      <c r="D96" s="9" t="s">
        <v>11</v>
      </c>
      <c r="E96" s="10">
        <v>0</v>
      </c>
      <c r="F96" s="11"/>
      <c r="G96" s="12"/>
      <c r="H96" s="14"/>
    </row>
    <row r="97" spans="1:8" x14ac:dyDescent="0.3">
      <c r="A97" s="8">
        <v>88</v>
      </c>
      <c r="B97" s="13"/>
      <c r="C97" s="8"/>
      <c r="D97" s="9" t="s">
        <v>11</v>
      </c>
      <c r="E97" s="10">
        <v>0</v>
      </c>
      <c r="F97" s="11"/>
      <c r="G97" s="12"/>
      <c r="H97" s="14"/>
    </row>
    <row r="98" spans="1:8" x14ac:dyDescent="0.3">
      <c r="A98" s="8">
        <v>89</v>
      </c>
      <c r="B98" s="13"/>
      <c r="C98" s="8"/>
      <c r="D98" s="9" t="s">
        <v>11</v>
      </c>
      <c r="E98" s="10">
        <v>0</v>
      </c>
      <c r="F98" s="11"/>
      <c r="G98" s="12"/>
      <c r="H98" s="14"/>
    </row>
    <row r="99" spans="1:8" x14ac:dyDescent="0.3">
      <c r="A99" s="8">
        <v>90</v>
      </c>
      <c r="B99" s="13"/>
      <c r="C99" s="8"/>
      <c r="D99" s="9" t="s">
        <v>11</v>
      </c>
      <c r="E99" s="10">
        <v>0</v>
      </c>
      <c r="F99" s="11"/>
      <c r="G99" s="12"/>
      <c r="H99" s="14"/>
    </row>
    <row r="100" spans="1:8" x14ac:dyDescent="0.3">
      <c r="A100" s="8">
        <v>91</v>
      </c>
      <c r="B100" s="13"/>
      <c r="C100" s="8"/>
      <c r="D100" s="9" t="s">
        <v>11</v>
      </c>
      <c r="E100" s="10">
        <v>0</v>
      </c>
      <c r="F100" s="11"/>
      <c r="G100" s="12"/>
      <c r="H100" s="14"/>
    </row>
    <row r="101" spans="1:8" x14ac:dyDescent="0.3">
      <c r="A101" s="8">
        <v>92</v>
      </c>
      <c r="B101" s="13"/>
      <c r="C101" s="8"/>
      <c r="D101" s="9" t="s">
        <v>11</v>
      </c>
      <c r="E101" s="10">
        <v>0</v>
      </c>
      <c r="F101" s="11"/>
      <c r="G101" s="12"/>
      <c r="H101" s="14"/>
    </row>
    <row r="102" spans="1:8" x14ac:dyDescent="0.3">
      <c r="A102" s="8">
        <v>93</v>
      </c>
      <c r="B102" s="13"/>
      <c r="C102" s="8"/>
      <c r="D102" s="9" t="s">
        <v>11</v>
      </c>
      <c r="E102" s="10">
        <v>0</v>
      </c>
      <c r="F102" s="11"/>
      <c r="G102" s="12"/>
      <c r="H102" s="14"/>
    </row>
    <row r="103" spans="1:8" x14ac:dyDescent="0.3">
      <c r="A103" s="8">
        <v>94</v>
      </c>
      <c r="B103" s="13"/>
      <c r="C103" s="8"/>
      <c r="D103" s="9" t="s">
        <v>11</v>
      </c>
      <c r="E103" s="10">
        <v>0</v>
      </c>
      <c r="F103" s="11"/>
      <c r="G103" s="12"/>
      <c r="H103" s="14"/>
    </row>
    <row r="104" spans="1:8" x14ac:dyDescent="0.3">
      <c r="A104" s="8">
        <v>95</v>
      </c>
      <c r="B104" s="13"/>
      <c r="C104" s="8"/>
      <c r="D104" s="9" t="s">
        <v>11</v>
      </c>
      <c r="E104" s="10">
        <v>0</v>
      </c>
      <c r="F104" s="11"/>
      <c r="G104" s="12"/>
      <c r="H104" s="14"/>
    </row>
    <row r="105" spans="1:8" x14ac:dyDescent="0.3">
      <c r="A105" s="8">
        <v>96</v>
      </c>
      <c r="B105" s="13"/>
      <c r="C105" s="8"/>
      <c r="D105" s="9" t="s">
        <v>11</v>
      </c>
      <c r="E105" s="10">
        <v>0</v>
      </c>
      <c r="F105" s="11"/>
      <c r="G105" s="12"/>
      <c r="H105" s="14"/>
    </row>
    <row r="106" spans="1:8" x14ac:dyDescent="0.3">
      <c r="A106" s="8">
        <v>97</v>
      </c>
      <c r="B106" s="13"/>
      <c r="C106" s="8"/>
      <c r="D106" s="9" t="s">
        <v>11</v>
      </c>
      <c r="E106" s="10">
        <v>0</v>
      </c>
      <c r="F106" s="11"/>
      <c r="G106" s="12"/>
      <c r="H106" s="14"/>
    </row>
    <row r="107" spans="1:8" x14ac:dyDescent="0.3">
      <c r="A107" s="8">
        <v>98</v>
      </c>
      <c r="B107" s="13"/>
      <c r="C107" s="8"/>
      <c r="D107" s="9" t="s">
        <v>11</v>
      </c>
      <c r="E107" s="10">
        <v>0</v>
      </c>
      <c r="F107" s="11"/>
      <c r="G107" s="12"/>
      <c r="H107" s="14"/>
    </row>
    <row r="108" spans="1:8" x14ac:dyDescent="0.3">
      <c r="A108" s="8">
        <v>99</v>
      </c>
      <c r="B108" s="13"/>
      <c r="C108" s="8"/>
      <c r="D108" s="9" t="s">
        <v>11</v>
      </c>
      <c r="E108" s="10">
        <v>0</v>
      </c>
      <c r="F108" s="11"/>
      <c r="G108" s="12"/>
      <c r="H108" s="14"/>
    </row>
    <row r="109" spans="1:8" x14ac:dyDescent="0.3">
      <c r="A109" s="8">
        <v>100</v>
      </c>
      <c r="B109" s="13"/>
      <c r="C109" s="8"/>
      <c r="D109" s="9" t="s">
        <v>11</v>
      </c>
      <c r="E109" s="10">
        <v>0</v>
      </c>
      <c r="F109" s="11"/>
      <c r="G109" s="12"/>
      <c r="H109" s="14"/>
    </row>
    <row r="110" spans="1:8" x14ac:dyDescent="0.3">
      <c r="A110" s="8">
        <v>101</v>
      </c>
      <c r="B110" s="13"/>
      <c r="C110" s="8"/>
      <c r="D110" s="9" t="s">
        <v>11</v>
      </c>
      <c r="E110" s="10">
        <v>0</v>
      </c>
      <c r="F110" s="11"/>
      <c r="G110" s="12"/>
      <c r="H110" s="14"/>
    </row>
    <row r="111" spans="1:8" x14ac:dyDescent="0.3">
      <c r="A111" s="8">
        <v>102</v>
      </c>
      <c r="B111" s="13"/>
      <c r="C111" s="8"/>
      <c r="D111" s="9" t="s">
        <v>11</v>
      </c>
      <c r="E111" s="10">
        <v>0</v>
      </c>
      <c r="F111" s="11"/>
      <c r="G111" s="12"/>
      <c r="H111" s="14"/>
    </row>
    <row r="112" spans="1:8" x14ac:dyDescent="0.3">
      <c r="A112" s="8">
        <v>103</v>
      </c>
      <c r="B112" s="13"/>
      <c r="C112" s="8"/>
      <c r="D112" s="9" t="s">
        <v>11</v>
      </c>
      <c r="E112" s="10">
        <v>0</v>
      </c>
      <c r="F112" s="11"/>
      <c r="G112" s="12"/>
      <c r="H112" s="14"/>
    </row>
    <row r="113" spans="1:8" x14ac:dyDescent="0.3">
      <c r="A113" s="8">
        <v>104</v>
      </c>
      <c r="B113" s="13"/>
      <c r="C113" s="8"/>
      <c r="D113" s="9" t="s">
        <v>11</v>
      </c>
      <c r="E113" s="10">
        <v>0</v>
      </c>
      <c r="F113" s="11"/>
      <c r="G113" s="12"/>
      <c r="H113" s="14"/>
    </row>
    <row r="114" spans="1:8" x14ac:dyDescent="0.3">
      <c r="A114" s="8">
        <v>105</v>
      </c>
      <c r="B114" s="13"/>
      <c r="C114" s="8"/>
      <c r="D114" s="9" t="s">
        <v>11</v>
      </c>
      <c r="E114" s="10">
        <v>0</v>
      </c>
      <c r="F114" s="11"/>
      <c r="G114" s="12"/>
      <c r="H114" s="14"/>
    </row>
    <row r="115" spans="1:8" x14ac:dyDescent="0.3">
      <c r="A115" s="8">
        <v>106</v>
      </c>
      <c r="B115" s="13"/>
      <c r="C115" s="8"/>
      <c r="D115" s="9" t="s">
        <v>11</v>
      </c>
      <c r="E115" s="10">
        <v>0</v>
      </c>
      <c r="F115" s="11"/>
      <c r="G115" s="12"/>
      <c r="H115" s="14"/>
    </row>
    <row r="116" spans="1:8" x14ac:dyDescent="0.3">
      <c r="A116" s="8">
        <v>107</v>
      </c>
      <c r="B116" s="13"/>
      <c r="C116" s="8"/>
      <c r="D116" s="9" t="s">
        <v>11</v>
      </c>
      <c r="E116" s="10">
        <v>0</v>
      </c>
      <c r="F116" s="11"/>
      <c r="G116" s="12"/>
      <c r="H116" s="14"/>
    </row>
    <row r="117" spans="1:8" x14ac:dyDescent="0.3">
      <c r="A117" s="8">
        <v>108</v>
      </c>
      <c r="B117" s="13"/>
      <c r="C117" s="8"/>
      <c r="D117" s="9" t="s">
        <v>11</v>
      </c>
      <c r="E117" s="10">
        <v>0</v>
      </c>
      <c r="F117" s="11"/>
      <c r="G117" s="12"/>
      <c r="H117" s="14"/>
    </row>
    <row r="118" spans="1:8" x14ac:dyDescent="0.3">
      <c r="A118" s="8">
        <v>109</v>
      </c>
      <c r="B118" s="13"/>
      <c r="C118" s="8"/>
      <c r="D118" s="9" t="s">
        <v>11</v>
      </c>
      <c r="E118" s="10">
        <v>0</v>
      </c>
      <c r="F118" s="11"/>
      <c r="G118" s="12"/>
      <c r="H118" s="14"/>
    </row>
    <row r="119" spans="1:8" x14ac:dyDescent="0.3">
      <c r="A119" s="8">
        <v>110</v>
      </c>
      <c r="B119" s="13"/>
      <c r="C119" s="8"/>
      <c r="D119" s="9" t="s">
        <v>11</v>
      </c>
      <c r="E119" s="10">
        <v>0</v>
      </c>
      <c r="F119" s="11"/>
      <c r="G119" s="12"/>
      <c r="H119" s="14"/>
    </row>
    <row r="120" spans="1:8" x14ac:dyDescent="0.3">
      <c r="A120" s="8">
        <v>111</v>
      </c>
      <c r="B120" s="13"/>
      <c r="C120" s="8"/>
      <c r="D120" s="9" t="s">
        <v>11</v>
      </c>
      <c r="E120" s="10">
        <v>0</v>
      </c>
      <c r="F120" s="11"/>
      <c r="G120" s="12"/>
      <c r="H120" s="14"/>
    </row>
    <row r="121" spans="1:8" x14ac:dyDescent="0.3">
      <c r="A121" s="8">
        <v>112</v>
      </c>
      <c r="B121" s="13"/>
      <c r="C121" s="8"/>
      <c r="D121" s="9" t="s">
        <v>11</v>
      </c>
      <c r="E121" s="10">
        <v>0</v>
      </c>
      <c r="F121" s="11"/>
      <c r="G121" s="12"/>
      <c r="H121" s="14"/>
    </row>
    <row r="122" spans="1:8" x14ac:dyDescent="0.3">
      <c r="A122" s="8">
        <v>113</v>
      </c>
      <c r="B122" s="13"/>
      <c r="C122" s="8"/>
      <c r="D122" s="9" t="s">
        <v>11</v>
      </c>
      <c r="E122" s="10">
        <v>0</v>
      </c>
      <c r="F122" s="11"/>
      <c r="G122" s="12"/>
      <c r="H122" s="14"/>
    </row>
    <row r="123" spans="1:8" x14ac:dyDescent="0.3">
      <c r="A123" s="8">
        <v>114</v>
      </c>
      <c r="B123" s="13"/>
      <c r="C123" s="8"/>
      <c r="D123" s="9" t="s">
        <v>11</v>
      </c>
      <c r="E123" s="10">
        <v>0</v>
      </c>
      <c r="F123" s="11"/>
      <c r="G123" s="12"/>
      <c r="H123" s="14"/>
    </row>
    <row r="124" spans="1:8" x14ac:dyDescent="0.3">
      <c r="A124" s="8">
        <v>115</v>
      </c>
      <c r="B124" s="13"/>
      <c r="C124" s="8"/>
      <c r="D124" s="9" t="s">
        <v>11</v>
      </c>
      <c r="E124" s="10">
        <v>0</v>
      </c>
      <c r="F124" s="11"/>
      <c r="G124" s="12"/>
      <c r="H124" s="14"/>
    </row>
    <row r="125" spans="1:8" x14ac:dyDescent="0.3">
      <c r="A125" s="8">
        <v>116</v>
      </c>
      <c r="B125" s="13"/>
      <c r="C125" s="8"/>
      <c r="D125" s="9" t="s">
        <v>11</v>
      </c>
      <c r="E125" s="10">
        <v>0</v>
      </c>
      <c r="F125" s="11"/>
      <c r="G125" s="12"/>
      <c r="H125" s="14"/>
    </row>
    <row r="126" spans="1:8" x14ac:dyDescent="0.3">
      <c r="A126" s="8">
        <v>117</v>
      </c>
      <c r="B126" s="13"/>
      <c r="C126" s="8"/>
      <c r="D126" s="9" t="s">
        <v>11</v>
      </c>
      <c r="E126" s="10">
        <v>0</v>
      </c>
      <c r="F126" s="11"/>
      <c r="G126" s="12"/>
      <c r="H126" s="14"/>
    </row>
    <row r="127" spans="1:8" x14ac:dyDescent="0.3">
      <c r="A127" s="8">
        <v>118</v>
      </c>
      <c r="B127" s="13"/>
      <c r="C127" s="8"/>
      <c r="D127" s="9" t="s">
        <v>11</v>
      </c>
      <c r="E127" s="10">
        <v>0</v>
      </c>
      <c r="F127" s="11"/>
      <c r="G127" s="12"/>
      <c r="H127" s="14"/>
    </row>
    <row r="128" spans="1:8" x14ac:dyDescent="0.3">
      <c r="A128" s="8">
        <v>119</v>
      </c>
      <c r="B128" s="13"/>
      <c r="C128" s="8"/>
      <c r="D128" s="9" t="s">
        <v>11</v>
      </c>
      <c r="E128" s="10">
        <v>0</v>
      </c>
      <c r="F128" s="11"/>
      <c r="G128" s="12"/>
      <c r="H128" s="14"/>
    </row>
    <row r="129" spans="1:8" x14ac:dyDescent="0.3">
      <c r="A129" s="8">
        <v>120</v>
      </c>
      <c r="B129" s="13"/>
      <c r="C129" s="8"/>
      <c r="D129" s="9" t="s">
        <v>11</v>
      </c>
      <c r="E129" s="10">
        <v>0</v>
      </c>
      <c r="F129" s="11"/>
      <c r="G129" s="12"/>
      <c r="H129" s="14"/>
    </row>
    <row r="130" spans="1:8" x14ac:dyDescent="0.3">
      <c r="A130" s="8">
        <v>121</v>
      </c>
      <c r="B130" s="13"/>
      <c r="C130" s="8"/>
      <c r="D130" s="9" t="s">
        <v>11</v>
      </c>
      <c r="E130" s="10">
        <v>0</v>
      </c>
      <c r="F130" s="11"/>
      <c r="G130" s="12"/>
      <c r="H130" s="14"/>
    </row>
    <row r="131" spans="1:8" x14ac:dyDescent="0.3">
      <c r="A131" s="8">
        <v>122</v>
      </c>
      <c r="B131" s="13"/>
      <c r="C131" s="8"/>
      <c r="D131" s="9" t="s">
        <v>11</v>
      </c>
      <c r="E131" s="10">
        <v>0</v>
      </c>
      <c r="F131" s="11"/>
      <c r="G131" s="12"/>
      <c r="H131" s="14"/>
    </row>
    <row r="132" spans="1:8" x14ac:dyDescent="0.3">
      <c r="A132" s="8">
        <v>123</v>
      </c>
      <c r="B132" s="13"/>
      <c r="C132" s="8"/>
      <c r="D132" s="9" t="s">
        <v>11</v>
      </c>
      <c r="E132" s="10">
        <v>0</v>
      </c>
      <c r="F132" s="11"/>
      <c r="G132" s="12"/>
      <c r="H132" s="14"/>
    </row>
    <row r="133" spans="1:8" x14ac:dyDescent="0.3">
      <c r="A133" s="8">
        <v>124</v>
      </c>
      <c r="B133" s="13"/>
      <c r="C133" s="8"/>
      <c r="D133" s="9" t="s">
        <v>11</v>
      </c>
      <c r="E133" s="10">
        <v>0</v>
      </c>
      <c r="F133" s="11"/>
      <c r="G133" s="12"/>
      <c r="H133" s="14"/>
    </row>
    <row r="134" spans="1:8" x14ac:dyDescent="0.3">
      <c r="A134" s="8">
        <v>125</v>
      </c>
      <c r="B134" s="13"/>
      <c r="C134" s="8"/>
      <c r="D134" s="9" t="s">
        <v>11</v>
      </c>
      <c r="E134" s="10">
        <v>0</v>
      </c>
      <c r="F134" s="11"/>
      <c r="G134" s="12"/>
      <c r="H134" s="14"/>
    </row>
    <row r="135" spans="1:8" x14ac:dyDescent="0.3">
      <c r="A135" s="8">
        <v>126</v>
      </c>
      <c r="B135" s="13"/>
      <c r="C135" s="8"/>
      <c r="D135" s="9" t="s">
        <v>11</v>
      </c>
      <c r="E135" s="10">
        <v>0</v>
      </c>
      <c r="F135" s="11"/>
      <c r="G135" s="12"/>
      <c r="H135" s="14"/>
    </row>
    <row r="136" spans="1:8" x14ac:dyDescent="0.3">
      <c r="A136" s="8">
        <v>127</v>
      </c>
      <c r="B136" s="13"/>
      <c r="C136" s="8"/>
      <c r="D136" s="9" t="s">
        <v>11</v>
      </c>
      <c r="E136" s="10">
        <v>0</v>
      </c>
      <c r="F136" s="11"/>
      <c r="G136" s="12"/>
      <c r="H136" s="14"/>
    </row>
    <row r="137" spans="1:8" x14ac:dyDescent="0.3">
      <c r="A137" s="8">
        <v>128</v>
      </c>
      <c r="B137" s="13"/>
      <c r="C137" s="8"/>
      <c r="D137" s="9" t="s">
        <v>11</v>
      </c>
      <c r="E137" s="10">
        <v>0</v>
      </c>
      <c r="F137" s="11"/>
      <c r="G137" s="12"/>
      <c r="H137" s="14"/>
    </row>
    <row r="138" spans="1:8" x14ac:dyDescent="0.3">
      <c r="A138" s="8">
        <v>129</v>
      </c>
      <c r="B138" s="13"/>
      <c r="C138" s="8"/>
      <c r="D138" s="9" t="s">
        <v>11</v>
      </c>
      <c r="E138" s="10">
        <v>0</v>
      </c>
      <c r="F138" s="11"/>
      <c r="G138" s="12"/>
      <c r="H138" s="14"/>
    </row>
    <row r="139" spans="1:8" x14ac:dyDescent="0.3">
      <c r="A139" s="8">
        <v>130</v>
      </c>
      <c r="B139" s="13"/>
      <c r="C139" s="8"/>
      <c r="D139" s="9" t="s">
        <v>11</v>
      </c>
      <c r="E139" s="10">
        <v>0</v>
      </c>
      <c r="F139" s="11"/>
      <c r="G139" s="12"/>
      <c r="H139" s="14"/>
    </row>
    <row r="140" spans="1:8" x14ac:dyDescent="0.3">
      <c r="A140" s="8">
        <v>131</v>
      </c>
      <c r="B140" s="13"/>
      <c r="C140" s="8"/>
      <c r="D140" s="9" t="s">
        <v>11</v>
      </c>
      <c r="E140" s="10">
        <v>0</v>
      </c>
      <c r="F140" s="11"/>
      <c r="G140" s="12"/>
      <c r="H140" s="14"/>
    </row>
    <row r="141" spans="1:8" x14ac:dyDescent="0.3">
      <c r="A141" s="8">
        <v>132</v>
      </c>
      <c r="B141" s="13"/>
      <c r="C141" s="8"/>
      <c r="D141" s="9" t="s">
        <v>11</v>
      </c>
      <c r="E141" s="10">
        <v>0</v>
      </c>
      <c r="F141" s="11"/>
      <c r="G141" s="12"/>
      <c r="H141" s="14"/>
    </row>
    <row r="142" spans="1:8" x14ac:dyDescent="0.3">
      <c r="A142" s="8">
        <v>133</v>
      </c>
      <c r="B142" s="13"/>
      <c r="C142" s="8"/>
      <c r="D142" s="9" t="s">
        <v>11</v>
      </c>
      <c r="E142" s="10">
        <v>0</v>
      </c>
      <c r="F142" s="11"/>
      <c r="G142" s="12"/>
      <c r="H142" s="14"/>
    </row>
    <row r="143" spans="1:8" x14ac:dyDescent="0.3">
      <c r="A143" s="8">
        <v>134</v>
      </c>
      <c r="B143" s="13"/>
      <c r="C143" s="8"/>
      <c r="D143" s="9" t="s">
        <v>11</v>
      </c>
      <c r="E143" s="10">
        <v>0</v>
      </c>
      <c r="F143" s="11"/>
      <c r="G143" s="12"/>
      <c r="H143" s="14"/>
    </row>
    <row r="144" spans="1:8" x14ac:dyDescent="0.3">
      <c r="A144" s="8">
        <v>135</v>
      </c>
      <c r="B144" s="13"/>
      <c r="C144" s="8"/>
      <c r="D144" s="9" t="s">
        <v>11</v>
      </c>
      <c r="E144" s="10">
        <v>0</v>
      </c>
      <c r="F144" s="11"/>
      <c r="G144" s="12"/>
      <c r="H144" s="14"/>
    </row>
    <row r="145" spans="1:8" x14ac:dyDescent="0.3">
      <c r="A145" s="8">
        <v>136</v>
      </c>
      <c r="B145" s="13"/>
      <c r="C145" s="8"/>
      <c r="D145" s="9" t="s">
        <v>11</v>
      </c>
      <c r="E145" s="10">
        <v>0</v>
      </c>
      <c r="F145" s="11"/>
      <c r="G145" s="12"/>
      <c r="H145" s="14"/>
    </row>
    <row r="146" spans="1:8" x14ac:dyDescent="0.3">
      <c r="A146" s="8">
        <v>137</v>
      </c>
      <c r="B146" s="13"/>
      <c r="C146" s="8"/>
      <c r="D146" s="9" t="s">
        <v>11</v>
      </c>
      <c r="E146" s="10">
        <v>0</v>
      </c>
      <c r="F146" s="11"/>
      <c r="G146" s="12"/>
      <c r="H146" s="14"/>
    </row>
    <row r="147" spans="1:8" x14ac:dyDescent="0.3">
      <c r="A147" s="8">
        <v>138</v>
      </c>
      <c r="B147" s="13"/>
      <c r="C147" s="8"/>
      <c r="D147" s="9" t="s">
        <v>11</v>
      </c>
      <c r="E147" s="10">
        <v>0</v>
      </c>
      <c r="F147" s="11"/>
      <c r="G147" s="12"/>
      <c r="H147" s="14"/>
    </row>
    <row r="148" spans="1:8" x14ac:dyDescent="0.3">
      <c r="A148" s="8">
        <v>139</v>
      </c>
      <c r="B148" s="13"/>
      <c r="C148" s="8"/>
      <c r="D148" s="9" t="s">
        <v>11</v>
      </c>
      <c r="E148" s="10">
        <v>0</v>
      </c>
      <c r="F148" s="11"/>
      <c r="G148" s="12"/>
      <c r="H148" s="14"/>
    </row>
    <row r="149" spans="1:8" x14ac:dyDescent="0.3">
      <c r="A149" s="8">
        <v>140</v>
      </c>
      <c r="B149" s="13"/>
      <c r="C149" s="8"/>
      <c r="D149" s="9" t="s">
        <v>11</v>
      </c>
      <c r="E149" s="10">
        <v>0</v>
      </c>
      <c r="F149" s="11"/>
      <c r="G149" s="12"/>
      <c r="H149" s="14"/>
    </row>
    <row r="150" spans="1:8" x14ac:dyDescent="0.3">
      <c r="A150" s="8">
        <v>141</v>
      </c>
      <c r="B150" s="13"/>
      <c r="C150" s="8"/>
      <c r="D150" s="9" t="s">
        <v>11</v>
      </c>
      <c r="E150" s="10">
        <v>0</v>
      </c>
      <c r="F150" s="11"/>
      <c r="G150" s="12"/>
      <c r="H150" s="14"/>
    </row>
    <row r="151" spans="1:8" x14ac:dyDescent="0.3">
      <c r="A151" s="8">
        <v>142</v>
      </c>
      <c r="B151" s="13"/>
      <c r="C151" s="8"/>
      <c r="D151" s="9" t="s">
        <v>11</v>
      </c>
      <c r="E151" s="10">
        <v>0</v>
      </c>
      <c r="F151" s="11"/>
      <c r="G151" s="12"/>
      <c r="H151" s="14"/>
    </row>
    <row r="152" spans="1:8" x14ac:dyDescent="0.3">
      <c r="A152" s="8">
        <v>143</v>
      </c>
      <c r="B152" s="13"/>
      <c r="C152" s="8"/>
      <c r="D152" s="9" t="s">
        <v>11</v>
      </c>
      <c r="E152" s="10">
        <v>0</v>
      </c>
      <c r="F152" s="11"/>
      <c r="G152" s="12"/>
      <c r="H152" s="14"/>
    </row>
    <row r="153" spans="1:8" x14ac:dyDescent="0.3">
      <c r="A153" s="8">
        <v>144</v>
      </c>
      <c r="B153" s="13"/>
      <c r="C153" s="8"/>
      <c r="D153" s="9" t="s">
        <v>11</v>
      </c>
      <c r="E153" s="10">
        <v>0</v>
      </c>
      <c r="F153" s="11"/>
      <c r="G153" s="12"/>
      <c r="H153" s="14"/>
    </row>
    <row r="154" spans="1:8" x14ac:dyDescent="0.3">
      <c r="A154" s="8">
        <v>145</v>
      </c>
      <c r="B154" s="13"/>
      <c r="C154" s="8"/>
      <c r="D154" s="9" t="s">
        <v>11</v>
      </c>
      <c r="E154" s="10">
        <v>0</v>
      </c>
      <c r="F154" s="11"/>
      <c r="G154" s="12"/>
      <c r="H154" s="14"/>
    </row>
    <row r="155" spans="1:8" x14ac:dyDescent="0.3">
      <c r="A155" s="8">
        <v>146</v>
      </c>
      <c r="B155" s="13"/>
      <c r="C155" s="8"/>
      <c r="D155" s="9" t="s">
        <v>11</v>
      </c>
      <c r="E155" s="10">
        <v>0</v>
      </c>
      <c r="F155" s="11"/>
      <c r="G155" s="12"/>
      <c r="H155" s="14"/>
    </row>
    <row r="156" spans="1:8" x14ac:dyDescent="0.3">
      <c r="A156" s="8">
        <v>147</v>
      </c>
      <c r="B156" s="13"/>
      <c r="C156" s="8"/>
      <c r="D156" s="9" t="s">
        <v>11</v>
      </c>
      <c r="E156" s="10">
        <v>0</v>
      </c>
      <c r="F156" s="11"/>
      <c r="G156" s="12"/>
      <c r="H156" s="14"/>
    </row>
    <row r="157" spans="1:8" x14ac:dyDescent="0.3">
      <c r="A157" s="8">
        <v>148</v>
      </c>
      <c r="B157" s="13"/>
      <c r="C157" s="8"/>
      <c r="D157" s="9" t="s">
        <v>11</v>
      </c>
      <c r="E157" s="10">
        <v>0</v>
      </c>
      <c r="F157" s="11"/>
      <c r="G157" s="12"/>
      <c r="H157" s="14"/>
    </row>
    <row r="158" spans="1:8" x14ac:dyDescent="0.3">
      <c r="A158" s="8">
        <v>149</v>
      </c>
      <c r="B158" s="13"/>
      <c r="C158" s="8"/>
      <c r="D158" s="9" t="s">
        <v>11</v>
      </c>
      <c r="E158" s="10">
        <v>0</v>
      </c>
      <c r="F158" s="11"/>
      <c r="G158" s="12"/>
      <c r="H158" s="14"/>
    </row>
    <row r="159" spans="1:8" x14ac:dyDescent="0.3">
      <c r="A159" s="8">
        <v>150</v>
      </c>
      <c r="B159" s="13"/>
      <c r="C159" s="8"/>
      <c r="D159" s="9" t="s">
        <v>11</v>
      </c>
      <c r="E159" s="10">
        <v>0</v>
      </c>
      <c r="F159" s="11"/>
      <c r="G159" s="12"/>
      <c r="H159" s="14"/>
    </row>
    <row r="160" spans="1:8" x14ac:dyDescent="0.3">
      <c r="A160" s="8">
        <v>151</v>
      </c>
      <c r="B160" s="13"/>
      <c r="C160" s="8"/>
      <c r="D160" s="9" t="s">
        <v>11</v>
      </c>
      <c r="E160" s="10">
        <v>0</v>
      </c>
      <c r="F160" s="11"/>
      <c r="G160" s="12"/>
      <c r="H160" s="14"/>
    </row>
    <row r="161" spans="1:8" x14ac:dyDescent="0.3">
      <c r="A161" s="8">
        <v>152</v>
      </c>
      <c r="B161" s="13"/>
      <c r="C161" s="8"/>
      <c r="D161" s="9" t="s">
        <v>11</v>
      </c>
      <c r="E161" s="10">
        <v>0</v>
      </c>
      <c r="F161" s="11"/>
      <c r="G161" s="12"/>
      <c r="H161" s="14"/>
    </row>
    <row r="162" spans="1:8" x14ac:dyDescent="0.3">
      <c r="A162" s="8">
        <v>153</v>
      </c>
      <c r="B162" s="13"/>
      <c r="C162" s="8"/>
      <c r="D162" s="9" t="s">
        <v>11</v>
      </c>
      <c r="E162" s="10">
        <v>0</v>
      </c>
      <c r="F162" s="11"/>
      <c r="G162" s="12"/>
      <c r="H162" s="14"/>
    </row>
    <row r="163" spans="1:8" x14ac:dyDescent="0.3">
      <c r="A163" s="8">
        <v>154</v>
      </c>
      <c r="B163" s="13"/>
      <c r="C163" s="8"/>
      <c r="D163" s="9" t="s">
        <v>11</v>
      </c>
      <c r="E163" s="10">
        <v>0</v>
      </c>
      <c r="F163" s="11"/>
      <c r="G163" s="12"/>
      <c r="H163" s="14"/>
    </row>
    <row r="164" spans="1:8" x14ac:dyDescent="0.3">
      <c r="A164" s="8">
        <v>155</v>
      </c>
      <c r="B164" s="13"/>
      <c r="C164" s="8"/>
      <c r="D164" s="9" t="s">
        <v>11</v>
      </c>
      <c r="E164" s="10">
        <v>0</v>
      </c>
      <c r="F164" s="11"/>
      <c r="G164" s="12"/>
      <c r="H164" s="14"/>
    </row>
    <row r="165" spans="1:8" x14ac:dyDescent="0.3">
      <c r="A165" s="8">
        <v>156</v>
      </c>
      <c r="B165" s="13"/>
      <c r="C165" s="8"/>
      <c r="D165" s="9" t="s">
        <v>11</v>
      </c>
      <c r="E165" s="10">
        <v>0</v>
      </c>
      <c r="F165" s="11"/>
      <c r="G165" s="12"/>
      <c r="H165" s="14"/>
    </row>
    <row r="166" spans="1:8" x14ac:dyDescent="0.3">
      <c r="A166" s="8">
        <v>157</v>
      </c>
      <c r="B166" s="13"/>
      <c r="C166" s="8"/>
      <c r="D166" s="9" t="s">
        <v>11</v>
      </c>
      <c r="E166" s="10">
        <v>0</v>
      </c>
      <c r="F166" s="11"/>
      <c r="G166" s="12"/>
      <c r="H166" s="14"/>
    </row>
    <row r="167" spans="1:8" x14ac:dyDescent="0.3">
      <c r="A167" s="8">
        <v>158</v>
      </c>
      <c r="B167" s="13"/>
      <c r="C167" s="8"/>
      <c r="D167" s="9" t="s">
        <v>11</v>
      </c>
      <c r="E167" s="10">
        <v>0</v>
      </c>
      <c r="F167" s="11"/>
      <c r="G167" s="12"/>
      <c r="H167" s="14"/>
    </row>
    <row r="168" spans="1:8" x14ac:dyDescent="0.3">
      <c r="A168" s="8">
        <v>159</v>
      </c>
      <c r="B168" s="13"/>
      <c r="C168" s="8"/>
      <c r="D168" s="9" t="s">
        <v>11</v>
      </c>
      <c r="E168" s="10">
        <v>0</v>
      </c>
      <c r="F168" s="11"/>
      <c r="G168" s="12"/>
      <c r="H168" s="14"/>
    </row>
    <row r="169" spans="1:8" x14ac:dyDescent="0.3">
      <c r="A169" s="8">
        <v>160</v>
      </c>
      <c r="B169" s="13"/>
      <c r="C169" s="8"/>
      <c r="D169" s="9" t="s">
        <v>11</v>
      </c>
      <c r="E169" s="10">
        <v>0</v>
      </c>
      <c r="F169" s="11"/>
      <c r="G169" s="12"/>
      <c r="H169" s="14"/>
    </row>
    <row r="170" spans="1:8" x14ac:dyDescent="0.3">
      <c r="A170" s="8">
        <v>161</v>
      </c>
      <c r="B170" s="13"/>
      <c r="C170" s="8"/>
      <c r="D170" s="9" t="s">
        <v>11</v>
      </c>
      <c r="E170" s="10">
        <v>0</v>
      </c>
      <c r="F170" s="11"/>
      <c r="G170" s="12"/>
      <c r="H170" s="14"/>
    </row>
    <row r="171" spans="1:8" x14ac:dyDescent="0.3">
      <c r="A171" s="8">
        <v>162</v>
      </c>
      <c r="B171" s="13"/>
      <c r="C171" s="8"/>
      <c r="D171" s="9" t="s">
        <v>11</v>
      </c>
      <c r="E171" s="10">
        <v>0</v>
      </c>
      <c r="F171" s="11"/>
      <c r="G171" s="12"/>
      <c r="H171" s="14"/>
    </row>
    <row r="172" spans="1:8" x14ac:dyDescent="0.3">
      <c r="A172" s="8">
        <v>163</v>
      </c>
      <c r="B172" s="13"/>
      <c r="C172" s="8"/>
      <c r="D172" s="9" t="s">
        <v>11</v>
      </c>
      <c r="E172" s="10">
        <v>0</v>
      </c>
      <c r="F172" s="11"/>
      <c r="G172" s="12"/>
      <c r="H172" s="14"/>
    </row>
    <row r="173" spans="1:8" x14ac:dyDescent="0.3">
      <c r="A173" s="8">
        <v>164</v>
      </c>
      <c r="B173" s="13"/>
      <c r="C173" s="8"/>
      <c r="D173" s="9" t="s">
        <v>11</v>
      </c>
      <c r="E173" s="10">
        <v>0</v>
      </c>
      <c r="F173" s="11"/>
      <c r="G173" s="12"/>
      <c r="H173" s="14"/>
    </row>
    <row r="174" spans="1:8" x14ac:dyDescent="0.3">
      <c r="A174" s="8">
        <v>165</v>
      </c>
      <c r="B174" s="13"/>
      <c r="C174" s="8"/>
      <c r="D174" s="9" t="s">
        <v>11</v>
      </c>
      <c r="E174" s="10">
        <v>0</v>
      </c>
      <c r="F174" s="11"/>
      <c r="G174" s="12"/>
      <c r="H174" s="14"/>
    </row>
    <row r="175" spans="1:8" x14ac:dyDescent="0.3">
      <c r="A175" s="8">
        <v>166</v>
      </c>
      <c r="B175" s="13"/>
      <c r="C175" s="8"/>
      <c r="D175" s="9" t="s">
        <v>11</v>
      </c>
      <c r="E175" s="10">
        <v>0</v>
      </c>
      <c r="F175" s="11"/>
      <c r="G175" s="12"/>
      <c r="H175" s="14"/>
    </row>
    <row r="176" spans="1:8" x14ac:dyDescent="0.3">
      <c r="A176" s="8">
        <v>167</v>
      </c>
      <c r="B176" s="13"/>
      <c r="C176" s="8"/>
      <c r="D176" s="9" t="s">
        <v>11</v>
      </c>
      <c r="E176" s="10">
        <v>0</v>
      </c>
      <c r="F176" s="11"/>
      <c r="G176" s="12"/>
      <c r="H176" s="14"/>
    </row>
    <row r="177" spans="1:8" x14ac:dyDescent="0.3">
      <c r="A177" s="8">
        <v>168</v>
      </c>
      <c r="B177" s="13"/>
      <c r="C177" s="8"/>
      <c r="D177" s="9" t="s">
        <v>11</v>
      </c>
      <c r="E177" s="10">
        <v>0</v>
      </c>
      <c r="F177" s="11"/>
      <c r="G177" s="12"/>
      <c r="H177" s="14"/>
    </row>
    <row r="178" spans="1:8" x14ac:dyDescent="0.3">
      <c r="A178" s="8">
        <v>169</v>
      </c>
      <c r="B178" s="13"/>
      <c r="C178" s="8"/>
      <c r="D178" s="9" t="s">
        <v>11</v>
      </c>
      <c r="E178" s="10">
        <v>0</v>
      </c>
      <c r="F178" s="11"/>
      <c r="G178" s="12"/>
      <c r="H178" s="14"/>
    </row>
    <row r="179" spans="1:8" x14ac:dyDescent="0.3">
      <c r="A179" s="8">
        <v>170</v>
      </c>
      <c r="B179" s="13"/>
      <c r="C179" s="8"/>
      <c r="D179" s="9" t="s">
        <v>11</v>
      </c>
      <c r="E179" s="10">
        <v>0</v>
      </c>
      <c r="F179" s="11"/>
      <c r="G179" s="12"/>
      <c r="H179" s="14"/>
    </row>
    <row r="180" spans="1:8" x14ac:dyDescent="0.3">
      <c r="A180" s="8">
        <v>171</v>
      </c>
      <c r="B180" s="13"/>
      <c r="C180" s="8"/>
      <c r="D180" s="9" t="s">
        <v>11</v>
      </c>
      <c r="E180" s="10">
        <v>0</v>
      </c>
      <c r="F180" s="11"/>
      <c r="G180" s="12"/>
      <c r="H180" s="14"/>
    </row>
    <row r="181" spans="1:8" x14ac:dyDescent="0.3">
      <c r="A181" s="8">
        <v>172</v>
      </c>
      <c r="B181" s="13"/>
      <c r="C181" s="8"/>
      <c r="D181" s="9" t="s">
        <v>11</v>
      </c>
      <c r="E181" s="10">
        <v>0</v>
      </c>
      <c r="F181" s="11"/>
      <c r="G181" s="12"/>
      <c r="H181" s="14"/>
    </row>
    <row r="182" spans="1:8" x14ac:dyDescent="0.3">
      <c r="A182" s="8">
        <v>173</v>
      </c>
      <c r="B182" s="13"/>
      <c r="C182" s="8"/>
      <c r="D182" s="9" t="s">
        <v>11</v>
      </c>
      <c r="E182" s="10">
        <v>0</v>
      </c>
      <c r="F182" s="11"/>
      <c r="G182" s="12"/>
      <c r="H182" s="14"/>
    </row>
    <row r="183" spans="1:8" x14ac:dyDescent="0.3">
      <c r="A183" s="8">
        <v>174</v>
      </c>
      <c r="B183" s="13"/>
      <c r="C183" s="8"/>
      <c r="D183" s="9" t="s">
        <v>11</v>
      </c>
      <c r="E183" s="10">
        <v>0</v>
      </c>
      <c r="F183" s="11"/>
      <c r="G183" s="12"/>
      <c r="H183" s="14"/>
    </row>
    <row r="184" spans="1:8" x14ac:dyDescent="0.3">
      <c r="A184" s="8">
        <v>175</v>
      </c>
      <c r="B184" s="13"/>
      <c r="C184" s="8"/>
      <c r="D184" s="9" t="s">
        <v>11</v>
      </c>
      <c r="E184" s="10">
        <v>0</v>
      </c>
      <c r="F184" s="11"/>
      <c r="G184" s="12"/>
      <c r="H184" s="14"/>
    </row>
    <row r="185" spans="1:8" x14ac:dyDescent="0.3">
      <c r="A185" s="8">
        <v>176</v>
      </c>
      <c r="B185" s="13"/>
      <c r="C185" s="8"/>
      <c r="D185" s="9" t="s">
        <v>11</v>
      </c>
      <c r="E185" s="10">
        <v>0</v>
      </c>
      <c r="F185" s="11"/>
      <c r="G185" s="12"/>
      <c r="H185" s="14"/>
    </row>
    <row r="186" spans="1:8" x14ac:dyDescent="0.3">
      <c r="A186" s="8">
        <v>177</v>
      </c>
      <c r="B186" s="13"/>
      <c r="C186" s="8"/>
      <c r="D186" s="9" t="s">
        <v>11</v>
      </c>
      <c r="E186" s="10">
        <v>0</v>
      </c>
      <c r="F186" s="11"/>
      <c r="G186" s="12"/>
      <c r="H186" s="14"/>
    </row>
    <row r="187" spans="1:8" x14ac:dyDescent="0.3">
      <c r="A187" s="8">
        <v>178</v>
      </c>
      <c r="B187" s="13"/>
      <c r="C187" s="8"/>
      <c r="D187" s="9" t="s">
        <v>11</v>
      </c>
      <c r="E187" s="10">
        <v>0</v>
      </c>
      <c r="F187" s="11"/>
      <c r="G187" s="12"/>
      <c r="H187" s="14"/>
    </row>
    <row r="188" spans="1:8" x14ac:dyDescent="0.3">
      <c r="A188" s="8">
        <v>179</v>
      </c>
      <c r="B188" s="13"/>
      <c r="C188" s="8"/>
      <c r="D188" s="9" t="s">
        <v>11</v>
      </c>
      <c r="E188" s="10">
        <v>0</v>
      </c>
      <c r="F188" s="11"/>
      <c r="G188" s="12"/>
      <c r="H188" s="14"/>
    </row>
    <row r="189" spans="1:8" x14ac:dyDescent="0.3">
      <c r="A189" s="8">
        <v>180</v>
      </c>
      <c r="B189" s="13"/>
      <c r="C189" s="8"/>
      <c r="D189" s="9" t="s">
        <v>11</v>
      </c>
      <c r="E189" s="10">
        <v>0</v>
      </c>
      <c r="F189" s="11"/>
      <c r="G189" s="12"/>
      <c r="H189" s="14"/>
    </row>
    <row r="190" spans="1:8" x14ac:dyDescent="0.3">
      <c r="A190" s="8">
        <v>181</v>
      </c>
      <c r="B190" s="13"/>
      <c r="C190" s="8"/>
      <c r="D190" s="9" t="s">
        <v>11</v>
      </c>
      <c r="E190" s="10">
        <v>0</v>
      </c>
      <c r="F190" s="11"/>
      <c r="G190" s="12"/>
      <c r="H190" s="14"/>
    </row>
    <row r="191" spans="1:8" x14ac:dyDescent="0.3">
      <c r="A191" s="8">
        <v>182</v>
      </c>
      <c r="B191" s="13"/>
      <c r="C191" s="8"/>
      <c r="D191" s="9" t="s">
        <v>11</v>
      </c>
      <c r="E191" s="10">
        <v>0</v>
      </c>
      <c r="F191" s="11"/>
      <c r="G191" s="12"/>
      <c r="H191" s="14"/>
    </row>
    <row r="192" spans="1:8" x14ac:dyDescent="0.3">
      <c r="A192" s="8">
        <v>183</v>
      </c>
      <c r="B192" s="13"/>
      <c r="C192" s="8"/>
      <c r="D192" s="9" t="s">
        <v>11</v>
      </c>
      <c r="E192" s="10">
        <v>0</v>
      </c>
      <c r="F192" s="11"/>
      <c r="G192" s="12"/>
      <c r="H192" s="14"/>
    </row>
    <row r="193" spans="1:8" x14ac:dyDescent="0.3">
      <c r="A193" s="8">
        <v>184</v>
      </c>
      <c r="B193" s="13"/>
      <c r="C193" s="8"/>
      <c r="D193" s="9" t="s">
        <v>11</v>
      </c>
      <c r="E193" s="10">
        <v>0</v>
      </c>
      <c r="F193" s="11"/>
      <c r="G193" s="12"/>
      <c r="H193" s="14"/>
    </row>
    <row r="194" spans="1:8" x14ac:dyDescent="0.3">
      <c r="A194" s="8">
        <v>185</v>
      </c>
      <c r="B194" s="13"/>
      <c r="C194" s="8"/>
      <c r="D194" s="9" t="s">
        <v>11</v>
      </c>
      <c r="E194" s="10">
        <v>0</v>
      </c>
      <c r="F194" s="11"/>
      <c r="G194" s="12"/>
      <c r="H194" s="14"/>
    </row>
    <row r="195" spans="1:8" x14ac:dyDescent="0.3">
      <c r="A195" s="8">
        <v>186</v>
      </c>
      <c r="B195" s="13"/>
      <c r="C195" s="8"/>
      <c r="D195" s="9" t="s">
        <v>11</v>
      </c>
      <c r="E195" s="10">
        <v>0</v>
      </c>
      <c r="F195" s="11"/>
      <c r="G195" s="12"/>
      <c r="H195" s="14"/>
    </row>
    <row r="196" spans="1:8" x14ac:dyDescent="0.3">
      <c r="A196" s="8">
        <v>187</v>
      </c>
      <c r="B196" s="13"/>
      <c r="C196" s="8"/>
      <c r="D196" s="9" t="s">
        <v>11</v>
      </c>
      <c r="E196" s="10">
        <v>0</v>
      </c>
      <c r="F196" s="11"/>
      <c r="G196" s="12"/>
      <c r="H196" s="14"/>
    </row>
    <row r="197" spans="1:8" x14ac:dyDescent="0.3">
      <c r="A197" s="8">
        <v>188</v>
      </c>
      <c r="B197" s="13"/>
      <c r="C197" s="8"/>
      <c r="D197" s="9" t="s">
        <v>11</v>
      </c>
      <c r="E197" s="10">
        <v>0</v>
      </c>
      <c r="F197" s="11"/>
      <c r="G197" s="12"/>
      <c r="H197" s="14"/>
    </row>
    <row r="198" spans="1:8" x14ac:dyDescent="0.3">
      <c r="A198" s="8">
        <v>189</v>
      </c>
      <c r="B198" s="13"/>
      <c r="C198" s="8"/>
      <c r="D198" s="9" t="s">
        <v>11</v>
      </c>
      <c r="E198" s="10">
        <v>0</v>
      </c>
      <c r="F198" s="11"/>
      <c r="G198" s="12"/>
      <c r="H198" s="14"/>
    </row>
    <row r="199" spans="1:8" x14ac:dyDescent="0.3">
      <c r="A199" s="8">
        <v>190</v>
      </c>
      <c r="B199" s="13"/>
      <c r="C199" s="8"/>
      <c r="D199" s="9" t="s">
        <v>11</v>
      </c>
      <c r="E199" s="10">
        <v>0</v>
      </c>
      <c r="F199" s="11"/>
      <c r="G199" s="12"/>
      <c r="H199" s="14"/>
    </row>
    <row r="200" spans="1:8" x14ac:dyDescent="0.3">
      <c r="A200" s="8">
        <v>191</v>
      </c>
      <c r="B200" s="13"/>
      <c r="C200" s="8"/>
      <c r="D200" s="9" t="s">
        <v>11</v>
      </c>
      <c r="E200" s="10">
        <v>0</v>
      </c>
      <c r="F200" s="11"/>
      <c r="G200" s="12"/>
      <c r="H200" s="14"/>
    </row>
    <row r="201" spans="1:8" x14ac:dyDescent="0.3">
      <c r="A201" s="8">
        <v>192</v>
      </c>
      <c r="B201" s="13"/>
      <c r="C201" s="8"/>
      <c r="D201" s="9" t="s">
        <v>11</v>
      </c>
      <c r="E201" s="10">
        <v>0</v>
      </c>
      <c r="F201" s="11"/>
      <c r="G201" s="12"/>
      <c r="H201" s="14"/>
    </row>
    <row r="202" spans="1:8" x14ac:dyDescent="0.3">
      <c r="A202" s="8">
        <v>193</v>
      </c>
      <c r="B202" s="13"/>
      <c r="C202" s="8"/>
      <c r="D202" s="9" t="s">
        <v>11</v>
      </c>
      <c r="E202" s="10">
        <v>0</v>
      </c>
      <c r="F202" s="11"/>
      <c r="G202" s="12"/>
      <c r="H202" s="14"/>
    </row>
    <row r="203" spans="1:8" x14ac:dyDescent="0.3">
      <c r="A203" s="8">
        <v>194</v>
      </c>
      <c r="B203" s="13"/>
      <c r="C203" s="8"/>
      <c r="D203" s="9" t="s">
        <v>11</v>
      </c>
      <c r="E203" s="10">
        <v>0</v>
      </c>
      <c r="F203" s="11"/>
      <c r="G203" s="12"/>
      <c r="H203" s="14"/>
    </row>
    <row r="204" spans="1:8" x14ac:dyDescent="0.3">
      <c r="A204" s="8">
        <v>195</v>
      </c>
      <c r="B204" s="13"/>
      <c r="C204" s="8"/>
      <c r="D204" s="9" t="s">
        <v>11</v>
      </c>
      <c r="E204" s="10">
        <v>0</v>
      </c>
      <c r="F204" s="11"/>
      <c r="G204" s="12"/>
      <c r="H204" s="14"/>
    </row>
    <row r="205" spans="1:8" x14ac:dyDescent="0.3">
      <c r="A205" s="8">
        <v>196</v>
      </c>
      <c r="B205" s="13"/>
      <c r="C205" s="8"/>
      <c r="D205" s="9" t="s">
        <v>11</v>
      </c>
      <c r="E205" s="10">
        <v>0</v>
      </c>
      <c r="F205" s="11"/>
      <c r="G205" s="12"/>
      <c r="H205" s="14"/>
    </row>
    <row r="206" spans="1:8" x14ac:dyDescent="0.3">
      <c r="A206" s="8">
        <v>197</v>
      </c>
      <c r="B206" s="13"/>
      <c r="C206" s="8"/>
      <c r="D206" s="9" t="s">
        <v>11</v>
      </c>
      <c r="E206" s="10">
        <v>0</v>
      </c>
      <c r="F206" s="11"/>
      <c r="G206" s="12"/>
      <c r="H206" s="14"/>
    </row>
    <row r="207" spans="1:8" x14ac:dyDescent="0.3">
      <c r="A207" s="8">
        <v>198</v>
      </c>
      <c r="B207" s="13"/>
      <c r="C207" s="8"/>
      <c r="D207" s="9" t="s">
        <v>11</v>
      </c>
      <c r="E207" s="10">
        <v>0</v>
      </c>
      <c r="F207" s="11"/>
      <c r="G207" s="12"/>
      <c r="H207" s="14"/>
    </row>
    <row r="208" spans="1:8" x14ac:dyDescent="0.3">
      <c r="A208" s="8">
        <v>199</v>
      </c>
      <c r="B208" s="13"/>
      <c r="C208" s="8"/>
      <c r="D208" s="9" t="s">
        <v>11</v>
      </c>
      <c r="E208" s="10">
        <v>0</v>
      </c>
      <c r="F208" s="11"/>
      <c r="G208" s="12"/>
      <c r="H208" s="14"/>
    </row>
    <row r="209" spans="1:8" x14ac:dyDescent="0.3">
      <c r="A209" s="8">
        <v>200</v>
      </c>
      <c r="B209" s="13"/>
      <c r="C209" s="8"/>
      <c r="D209" s="9" t="s">
        <v>11</v>
      </c>
      <c r="E209" s="10">
        <v>0</v>
      </c>
      <c r="F209" s="11"/>
      <c r="G209" s="12"/>
      <c r="H209" s="14"/>
    </row>
  </sheetData>
  <mergeCells count="11">
    <mergeCell ref="A6:B7"/>
    <mergeCell ref="C6:D7"/>
    <mergeCell ref="E6:F7"/>
    <mergeCell ref="G6:H7"/>
    <mergeCell ref="A8:H8"/>
    <mergeCell ref="A1:H1"/>
    <mergeCell ref="B3:H3"/>
    <mergeCell ref="A5:B5"/>
    <mergeCell ref="C5:D5"/>
    <mergeCell ref="E5:F5"/>
    <mergeCell ref="G5:H5"/>
  </mergeCells>
  <conditionalFormatting sqref="E10:E209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209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decimal" allowBlank="1" showInputMessage="1" showErrorMessage="1" errorTitle="Giá trị không hợp lệ" error="Nhập điểm từ 0 đến 10." sqref="F10:F209" xr:uid="{9BE4B337-5C28-4911-B23A-B19B0354E3A9}">
      <formula1>0</formula1>
      <formula2>10</formula2>
    </dataValidation>
    <dataValidation type="decimal" allowBlank="1" showInputMessage="1" showErrorMessage="1" errorTitle="Giá trị không hợp lệ" error="Nhập phần trăm từ 0% đến 100%." sqref="E10:E209" xr:uid="{3D57C033-626F-434E-B7D2-F9E9E56C5B78}">
      <formula1>0</formula1>
      <formula2>1</formula2>
    </dataValidation>
    <dataValidation type="list" allowBlank="1" showInputMessage="1" showErrorMessage="1" errorTitle="Trạng thái không hợp lệ" error="Chọn một trạng thái trong danh sách." sqref="D10:D209" xr:uid="{90E5F305-7518-4FED-B712-7C9BBFE9AFEB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</dataValidations>
  <hyperlinks>
    <hyperlink ref="B3" r:id="rId1" display="06 - Ngôn ngữ/01 - Tiếng Anh/tu-hoc-phat-am-tieng-anh-markdown.zip" xr:uid="{B46CEEA9-D93F-4D9A-973F-CE64C6BE5A46}"/>
  </hyperlink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575C5-9560-4031-945A-7225566A2683}">
  <sheetPr>
    <tabColor rgb="FF94A3B8"/>
  </sheetPr>
  <dimension ref="A1:H209"/>
  <sheetViews>
    <sheetView workbookViewId="0">
      <selection sqref="A1:H1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22</v>
      </c>
      <c r="B1" s="55"/>
      <c r="C1" s="55"/>
      <c r="D1" s="55"/>
      <c r="E1" s="55"/>
      <c r="F1" s="55"/>
      <c r="G1" s="55"/>
      <c r="H1" s="55"/>
    </row>
    <row r="2" spans="1:8" x14ac:dyDescent="0.3">
      <c r="A2" s="6" t="s">
        <v>23</v>
      </c>
      <c r="B2" s="5" t="s">
        <v>24</v>
      </c>
      <c r="C2" s="6" t="s">
        <v>25</v>
      </c>
      <c r="D2" s="5"/>
      <c r="E2" s="6" t="s">
        <v>26</v>
      </c>
      <c r="F2" s="5"/>
      <c r="G2" s="5"/>
      <c r="H2" s="5"/>
    </row>
    <row r="3" spans="1:8" x14ac:dyDescent="0.3">
      <c r="A3" s="6" t="s">
        <v>27</v>
      </c>
      <c r="B3" s="57" t="s">
        <v>28</v>
      </c>
      <c r="C3" s="57"/>
      <c r="D3" s="57"/>
      <c r="E3" s="57"/>
      <c r="F3" s="57"/>
      <c r="G3" s="57"/>
      <c r="H3" s="57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COUNTA(B10:B209)</f>
        <v>0</v>
      </c>
      <c r="B6" s="59"/>
      <c r="C6" s="60">
        <f t="shared" ref="C6" si="1">COUNTIF(D10:D209,"Đã hoàn thành")</f>
        <v>0</v>
      </c>
      <c r="D6" s="60"/>
      <c r="E6" s="61">
        <f t="shared" ref="E6" si="2">IFERROR(AVERAGE(E10:E209),0)</f>
        <v>0</v>
      </c>
      <c r="F6" s="61"/>
      <c r="G6" s="62" t="str">
        <f t="shared" ref="G6" si="3">IFERROR(AVERAGE(F10:F209),"")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33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7" t="s">
        <v>34</v>
      </c>
      <c r="B9" s="7" t="s">
        <v>35</v>
      </c>
      <c r="C9" s="7" t="s">
        <v>36</v>
      </c>
      <c r="D9" s="7" t="s">
        <v>10</v>
      </c>
      <c r="E9" s="7" t="s">
        <v>37</v>
      </c>
      <c r="F9" s="7" t="s">
        <v>38</v>
      </c>
      <c r="G9" s="7" t="s">
        <v>39</v>
      </c>
      <c r="H9" s="7" t="s">
        <v>40</v>
      </c>
    </row>
    <row r="10" spans="1:8" x14ac:dyDescent="0.3">
      <c r="A10" s="8">
        <v>1</v>
      </c>
      <c r="B10" s="13"/>
      <c r="C10" s="8"/>
      <c r="D10" s="9" t="s">
        <v>11</v>
      </c>
      <c r="E10" s="10">
        <v>0</v>
      </c>
      <c r="F10" s="11"/>
      <c r="G10" s="12"/>
      <c r="H10" s="14"/>
    </row>
    <row r="11" spans="1:8" x14ac:dyDescent="0.3">
      <c r="A11" s="8">
        <v>2</v>
      </c>
      <c r="B11" s="13"/>
      <c r="C11" s="8"/>
      <c r="D11" s="9" t="s">
        <v>11</v>
      </c>
      <c r="E11" s="10">
        <v>0</v>
      </c>
      <c r="F11" s="11"/>
      <c r="G11" s="12"/>
      <c r="H11" s="14"/>
    </row>
    <row r="12" spans="1:8" x14ac:dyDescent="0.3">
      <c r="A12" s="8">
        <v>3</v>
      </c>
      <c r="B12" s="13"/>
      <c r="C12" s="8"/>
      <c r="D12" s="9" t="s">
        <v>11</v>
      </c>
      <c r="E12" s="10">
        <v>0</v>
      </c>
      <c r="F12" s="11"/>
      <c r="G12" s="12"/>
      <c r="H12" s="14"/>
    </row>
    <row r="13" spans="1:8" x14ac:dyDescent="0.3">
      <c r="A13" s="8">
        <v>4</v>
      </c>
      <c r="B13" s="13"/>
      <c r="C13" s="8"/>
      <c r="D13" s="9" t="s">
        <v>11</v>
      </c>
      <c r="E13" s="10">
        <v>0</v>
      </c>
      <c r="F13" s="11"/>
      <c r="G13" s="12"/>
      <c r="H13" s="14"/>
    </row>
    <row r="14" spans="1:8" x14ac:dyDescent="0.3">
      <c r="A14" s="8">
        <v>5</v>
      </c>
      <c r="B14" s="13"/>
      <c r="C14" s="8"/>
      <c r="D14" s="9" t="s">
        <v>11</v>
      </c>
      <c r="E14" s="10">
        <v>0</v>
      </c>
      <c r="F14" s="11"/>
      <c r="G14" s="12"/>
      <c r="H14" s="14"/>
    </row>
    <row r="15" spans="1:8" x14ac:dyDescent="0.3">
      <c r="A15" s="8">
        <v>6</v>
      </c>
      <c r="B15" s="13"/>
      <c r="C15" s="8"/>
      <c r="D15" s="9" t="s">
        <v>11</v>
      </c>
      <c r="E15" s="10">
        <v>0</v>
      </c>
      <c r="F15" s="11"/>
      <c r="G15" s="12"/>
      <c r="H15" s="14"/>
    </row>
    <row r="16" spans="1:8" x14ac:dyDescent="0.3">
      <c r="A16" s="8">
        <v>7</v>
      </c>
      <c r="B16" s="13"/>
      <c r="C16" s="8"/>
      <c r="D16" s="9" t="s">
        <v>11</v>
      </c>
      <c r="E16" s="10">
        <v>0</v>
      </c>
      <c r="F16" s="11"/>
      <c r="G16" s="12"/>
      <c r="H16" s="14"/>
    </row>
    <row r="17" spans="1:8" x14ac:dyDescent="0.3">
      <c r="A17" s="8">
        <v>8</v>
      </c>
      <c r="B17" s="13"/>
      <c r="C17" s="8"/>
      <c r="D17" s="9" t="s">
        <v>11</v>
      </c>
      <c r="E17" s="10">
        <v>0</v>
      </c>
      <c r="F17" s="11"/>
      <c r="G17" s="12"/>
      <c r="H17" s="14"/>
    </row>
    <row r="18" spans="1:8" x14ac:dyDescent="0.3">
      <c r="A18" s="8">
        <v>9</v>
      </c>
      <c r="B18" s="13"/>
      <c r="C18" s="8"/>
      <c r="D18" s="9" t="s">
        <v>11</v>
      </c>
      <c r="E18" s="10">
        <v>0</v>
      </c>
      <c r="F18" s="11"/>
      <c r="G18" s="12"/>
      <c r="H18" s="14"/>
    </row>
    <row r="19" spans="1:8" x14ac:dyDescent="0.3">
      <c r="A19" s="8">
        <v>10</v>
      </c>
      <c r="B19" s="13"/>
      <c r="C19" s="8"/>
      <c r="D19" s="9" t="s">
        <v>11</v>
      </c>
      <c r="E19" s="10">
        <v>0</v>
      </c>
      <c r="F19" s="11"/>
      <c r="G19" s="12"/>
      <c r="H19" s="14"/>
    </row>
    <row r="20" spans="1:8" x14ac:dyDescent="0.3">
      <c r="A20" s="8">
        <v>11</v>
      </c>
      <c r="B20" s="13"/>
      <c r="C20" s="8"/>
      <c r="D20" s="9" t="s">
        <v>11</v>
      </c>
      <c r="E20" s="10">
        <v>0</v>
      </c>
      <c r="F20" s="11"/>
      <c r="G20" s="12"/>
      <c r="H20" s="14"/>
    </row>
    <row r="21" spans="1:8" x14ac:dyDescent="0.3">
      <c r="A21" s="8">
        <v>12</v>
      </c>
      <c r="B21" s="13"/>
      <c r="C21" s="8"/>
      <c r="D21" s="9" t="s">
        <v>11</v>
      </c>
      <c r="E21" s="10">
        <v>0</v>
      </c>
      <c r="F21" s="11"/>
      <c r="G21" s="12"/>
      <c r="H21" s="14"/>
    </row>
    <row r="22" spans="1:8" x14ac:dyDescent="0.3">
      <c r="A22" s="8">
        <v>13</v>
      </c>
      <c r="B22" s="13"/>
      <c r="C22" s="8"/>
      <c r="D22" s="9" t="s">
        <v>11</v>
      </c>
      <c r="E22" s="10">
        <v>0</v>
      </c>
      <c r="F22" s="11"/>
      <c r="G22" s="12"/>
      <c r="H22" s="14"/>
    </row>
    <row r="23" spans="1:8" x14ac:dyDescent="0.3">
      <c r="A23" s="8">
        <v>14</v>
      </c>
      <c r="B23" s="13"/>
      <c r="C23" s="8"/>
      <c r="D23" s="9" t="s">
        <v>11</v>
      </c>
      <c r="E23" s="10">
        <v>0</v>
      </c>
      <c r="F23" s="11"/>
      <c r="G23" s="12"/>
      <c r="H23" s="14"/>
    </row>
    <row r="24" spans="1:8" x14ac:dyDescent="0.3">
      <c r="A24" s="8">
        <v>15</v>
      </c>
      <c r="B24" s="13"/>
      <c r="C24" s="8"/>
      <c r="D24" s="9" t="s">
        <v>11</v>
      </c>
      <c r="E24" s="10">
        <v>0</v>
      </c>
      <c r="F24" s="11"/>
      <c r="G24" s="12"/>
      <c r="H24" s="14"/>
    </row>
    <row r="25" spans="1:8" x14ac:dyDescent="0.3">
      <c r="A25" s="8">
        <v>16</v>
      </c>
      <c r="B25" s="13"/>
      <c r="C25" s="8"/>
      <c r="D25" s="9" t="s">
        <v>11</v>
      </c>
      <c r="E25" s="10">
        <v>0</v>
      </c>
      <c r="F25" s="11"/>
      <c r="G25" s="12"/>
      <c r="H25" s="14"/>
    </row>
    <row r="26" spans="1:8" x14ac:dyDescent="0.3">
      <c r="A26" s="8">
        <v>17</v>
      </c>
      <c r="B26" s="13"/>
      <c r="C26" s="8"/>
      <c r="D26" s="9" t="s">
        <v>11</v>
      </c>
      <c r="E26" s="10">
        <v>0</v>
      </c>
      <c r="F26" s="11"/>
      <c r="G26" s="12"/>
      <c r="H26" s="14"/>
    </row>
    <row r="27" spans="1:8" x14ac:dyDescent="0.3">
      <c r="A27" s="8">
        <v>18</v>
      </c>
      <c r="B27" s="13"/>
      <c r="C27" s="8"/>
      <c r="D27" s="9" t="s">
        <v>11</v>
      </c>
      <c r="E27" s="10">
        <v>0</v>
      </c>
      <c r="F27" s="11"/>
      <c r="G27" s="12"/>
      <c r="H27" s="14"/>
    </row>
    <row r="28" spans="1:8" x14ac:dyDescent="0.3">
      <c r="A28" s="8">
        <v>19</v>
      </c>
      <c r="B28" s="13"/>
      <c r="C28" s="8"/>
      <c r="D28" s="9" t="s">
        <v>11</v>
      </c>
      <c r="E28" s="10">
        <v>0</v>
      </c>
      <c r="F28" s="11"/>
      <c r="G28" s="12"/>
      <c r="H28" s="14"/>
    </row>
    <row r="29" spans="1:8" x14ac:dyDescent="0.3">
      <c r="A29" s="8">
        <v>20</v>
      </c>
      <c r="B29" s="13"/>
      <c r="C29" s="8"/>
      <c r="D29" s="9" t="s">
        <v>11</v>
      </c>
      <c r="E29" s="10">
        <v>0</v>
      </c>
      <c r="F29" s="11"/>
      <c r="G29" s="12"/>
      <c r="H29" s="14"/>
    </row>
    <row r="30" spans="1:8" x14ac:dyDescent="0.3">
      <c r="A30" s="8">
        <v>21</v>
      </c>
      <c r="B30" s="13"/>
      <c r="C30" s="8"/>
      <c r="D30" s="9" t="s">
        <v>11</v>
      </c>
      <c r="E30" s="10">
        <v>0</v>
      </c>
      <c r="F30" s="11"/>
      <c r="G30" s="12"/>
      <c r="H30" s="14"/>
    </row>
    <row r="31" spans="1:8" x14ac:dyDescent="0.3">
      <c r="A31" s="8">
        <v>22</v>
      </c>
      <c r="B31" s="13"/>
      <c r="C31" s="8"/>
      <c r="D31" s="9" t="s">
        <v>11</v>
      </c>
      <c r="E31" s="10">
        <v>0</v>
      </c>
      <c r="F31" s="11"/>
      <c r="G31" s="12"/>
      <c r="H31" s="14"/>
    </row>
    <row r="32" spans="1:8" x14ac:dyDescent="0.3">
      <c r="A32" s="8">
        <v>23</v>
      </c>
      <c r="B32" s="13"/>
      <c r="C32" s="8"/>
      <c r="D32" s="9" t="s">
        <v>11</v>
      </c>
      <c r="E32" s="10">
        <v>0</v>
      </c>
      <c r="F32" s="11"/>
      <c r="G32" s="12"/>
      <c r="H32" s="14"/>
    </row>
    <row r="33" spans="1:8" x14ac:dyDescent="0.3">
      <c r="A33" s="8">
        <v>24</v>
      </c>
      <c r="B33" s="13"/>
      <c r="C33" s="8"/>
      <c r="D33" s="9" t="s">
        <v>11</v>
      </c>
      <c r="E33" s="10">
        <v>0</v>
      </c>
      <c r="F33" s="11"/>
      <c r="G33" s="12"/>
      <c r="H33" s="14"/>
    </row>
    <row r="34" spans="1:8" x14ac:dyDescent="0.3">
      <c r="A34" s="8">
        <v>25</v>
      </c>
      <c r="B34" s="13"/>
      <c r="C34" s="8"/>
      <c r="D34" s="9" t="s">
        <v>11</v>
      </c>
      <c r="E34" s="10">
        <v>0</v>
      </c>
      <c r="F34" s="11"/>
      <c r="G34" s="12"/>
      <c r="H34" s="14"/>
    </row>
    <row r="35" spans="1:8" x14ac:dyDescent="0.3">
      <c r="A35" s="8">
        <v>26</v>
      </c>
      <c r="B35" s="13"/>
      <c r="C35" s="8"/>
      <c r="D35" s="9" t="s">
        <v>11</v>
      </c>
      <c r="E35" s="10">
        <v>0</v>
      </c>
      <c r="F35" s="11"/>
      <c r="G35" s="12"/>
      <c r="H35" s="14"/>
    </row>
    <row r="36" spans="1:8" x14ac:dyDescent="0.3">
      <c r="A36" s="8">
        <v>27</v>
      </c>
      <c r="B36" s="13"/>
      <c r="C36" s="8"/>
      <c r="D36" s="9" t="s">
        <v>11</v>
      </c>
      <c r="E36" s="10">
        <v>0</v>
      </c>
      <c r="F36" s="11"/>
      <c r="G36" s="12"/>
      <c r="H36" s="14"/>
    </row>
    <row r="37" spans="1:8" x14ac:dyDescent="0.3">
      <c r="A37" s="8">
        <v>28</v>
      </c>
      <c r="B37" s="13"/>
      <c r="C37" s="8"/>
      <c r="D37" s="9" t="s">
        <v>11</v>
      </c>
      <c r="E37" s="10">
        <v>0</v>
      </c>
      <c r="F37" s="11"/>
      <c r="G37" s="12"/>
      <c r="H37" s="14"/>
    </row>
    <row r="38" spans="1:8" x14ac:dyDescent="0.3">
      <c r="A38" s="8">
        <v>29</v>
      </c>
      <c r="B38" s="13"/>
      <c r="C38" s="8"/>
      <c r="D38" s="9" t="s">
        <v>11</v>
      </c>
      <c r="E38" s="10">
        <v>0</v>
      </c>
      <c r="F38" s="11"/>
      <c r="G38" s="12"/>
      <c r="H38" s="14"/>
    </row>
    <row r="39" spans="1:8" x14ac:dyDescent="0.3">
      <c r="A39" s="8">
        <v>30</v>
      </c>
      <c r="B39" s="13"/>
      <c r="C39" s="8"/>
      <c r="D39" s="9" t="s">
        <v>11</v>
      </c>
      <c r="E39" s="10">
        <v>0</v>
      </c>
      <c r="F39" s="11"/>
      <c r="G39" s="12"/>
      <c r="H39" s="14"/>
    </row>
    <row r="40" spans="1:8" x14ac:dyDescent="0.3">
      <c r="A40" s="8">
        <v>31</v>
      </c>
      <c r="B40" s="13"/>
      <c r="C40" s="8"/>
      <c r="D40" s="9" t="s">
        <v>11</v>
      </c>
      <c r="E40" s="10">
        <v>0</v>
      </c>
      <c r="F40" s="11"/>
      <c r="G40" s="12"/>
      <c r="H40" s="14"/>
    </row>
    <row r="41" spans="1:8" x14ac:dyDescent="0.3">
      <c r="A41" s="8">
        <v>32</v>
      </c>
      <c r="B41" s="13"/>
      <c r="C41" s="8"/>
      <c r="D41" s="9" t="s">
        <v>11</v>
      </c>
      <c r="E41" s="10">
        <v>0</v>
      </c>
      <c r="F41" s="11"/>
      <c r="G41" s="12"/>
      <c r="H41" s="14"/>
    </row>
    <row r="42" spans="1:8" x14ac:dyDescent="0.3">
      <c r="A42" s="8">
        <v>33</v>
      </c>
      <c r="B42" s="13"/>
      <c r="C42" s="8"/>
      <c r="D42" s="9" t="s">
        <v>11</v>
      </c>
      <c r="E42" s="10">
        <v>0</v>
      </c>
      <c r="F42" s="11"/>
      <c r="G42" s="12"/>
      <c r="H42" s="14"/>
    </row>
    <row r="43" spans="1:8" x14ac:dyDescent="0.3">
      <c r="A43" s="8">
        <v>34</v>
      </c>
      <c r="B43" s="13"/>
      <c r="C43" s="8"/>
      <c r="D43" s="9" t="s">
        <v>11</v>
      </c>
      <c r="E43" s="10">
        <v>0</v>
      </c>
      <c r="F43" s="11"/>
      <c r="G43" s="12"/>
      <c r="H43" s="14"/>
    </row>
    <row r="44" spans="1:8" x14ac:dyDescent="0.3">
      <c r="A44" s="8">
        <v>35</v>
      </c>
      <c r="B44" s="13"/>
      <c r="C44" s="8"/>
      <c r="D44" s="9" t="s">
        <v>11</v>
      </c>
      <c r="E44" s="10">
        <v>0</v>
      </c>
      <c r="F44" s="11"/>
      <c r="G44" s="12"/>
      <c r="H44" s="14"/>
    </row>
    <row r="45" spans="1:8" x14ac:dyDescent="0.3">
      <c r="A45" s="8">
        <v>36</v>
      </c>
      <c r="B45" s="13"/>
      <c r="C45" s="8"/>
      <c r="D45" s="9" t="s">
        <v>11</v>
      </c>
      <c r="E45" s="10">
        <v>0</v>
      </c>
      <c r="F45" s="11"/>
      <c r="G45" s="12"/>
      <c r="H45" s="14"/>
    </row>
    <row r="46" spans="1:8" x14ac:dyDescent="0.3">
      <c r="A46" s="8">
        <v>37</v>
      </c>
      <c r="B46" s="13"/>
      <c r="C46" s="8"/>
      <c r="D46" s="9" t="s">
        <v>11</v>
      </c>
      <c r="E46" s="10">
        <v>0</v>
      </c>
      <c r="F46" s="11"/>
      <c r="G46" s="12"/>
      <c r="H46" s="14"/>
    </row>
    <row r="47" spans="1:8" x14ac:dyDescent="0.3">
      <c r="A47" s="8">
        <v>38</v>
      </c>
      <c r="B47" s="13"/>
      <c r="C47" s="8"/>
      <c r="D47" s="9" t="s">
        <v>11</v>
      </c>
      <c r="E47" s="10">
        <v>0</v>
      </c>
      <c r="F47" s="11"/>
      <c r="G47" s="12"/>
      <c r="H47" s="14"/>
    </row>
    <row r="48" spans="1:8" x14ac:dyDescent="0.3">
      <c r="A48" s="8">
        <v>39</v>
      </c>
      <c r="B48" s="13"/>
      <c r="C48" s="8"/>
      <c r="D48" s="9" t="s">
        <v>11</v>
      </c>
      <c r="E48" s="10">
        <v>0</v>
      </c>
      <c r="F48" s="11"/>
      <c r="G48" s="12"/>
      <c r="H48" s="14"/>
    </row>
    <row r="49" spans="1:8" x14ac:dyDescent="0.3">
      <c r="A49" s="8">
        <v>40</v>
      </c>
      <c r="B49" s="13"/>
      <c r="C49" s="8"/>
      <c r="D49" s="9" t="s">
        <v>11</v>
      </c>
      <c r="E49" s="10">
        <v>0</v>
      </c>
      <c r="F49" s="11"/>
      <c r="G49" s="12"/>
      <c r="H49" s="14"/>
    </row>
    <row r="50" spans="1:8" x14ac:dyDescent="0.3">
      <c r="A50" s="8">
        <v>41</v>
      </c>
      <c r="B50" s="13"/>
      <c r="C50" s="8"/>
      <c r="D50" s="9" t="s">
        <v>11</v>
      </c>
      <c r="E50" s="10">
        <v>0</v>
      </c>
      <c r="F50" s="11"/>
      <c r="G50" s="12"/>
      <c r="H50" s="14"/>
    </row>
    <row r="51" spans="1:8" x14ac:dyDescent="0.3">
      <c r="A51" s="8">
        <v>42</v>
      </c>
      <c r="B51" s="13"/>
      <c r="C51" s="8"/>
      <c r="D51" s="9" t="s">
        <v>11</v>
      </c>
      <c r="E51" s="10">
        <v>0</v>
      </c>
      <c r="F51" s="11"/>
      <c r="G51" s="12"/>
      <c r="H51" s="14"/>
    </row>
    <row r="52" spans="1:8" x14ac:dyDescent="0.3">
      <c r="A52" s="8">
        <v>43</v>
      </c>
      <c r="B52" s="13"/>
      <c r="C52" s="8"/>
      <c r="D52" s="9" t="s">
        <v>11</v>
      </c>
      <c r="E52" s="10">
        <v>0</v>
      </c>
      <c r="F52" s="11"/>
      <c r="G52" s="12"/>
      <c r="H52" s="14"/>
    </row>
    <row r="53" spans="1:8" x14ac:dyDescent="0.3">
      <c r="A53" s="8">
        <v>44</v>
      </c>
      <c r="B53" s="13"/>
      <c r="C53" s="8"/>
      <c r="D53" s="9" t="s">
        <v>11</v>
      </c>
      <c r="E53" s="10">
        <v>0</v>
      </c>
      <c r="F53" s="11"/>
      <c r="G53" s="12"/>
      <c r="H53" s="14"/>
    </row>
    <row r="54" spans="1:8" x14ac:dyDescent="0.3">
      <c r="A54" s="8">
        <v>45</v>
      </c>
      <c r="B54" s="13"/>
      <c r="C54" s="8"/>
      <c r="D54" s="9" t="s">
        <v>11</v>
      </c>
      <c r="E54" s="10">
        <v>0</v>
      </c>
      <c r="F54" s="11"/>
      <c r="G54" s="12"/>
      <c r="H54" s="14"/>
    </row>
    <row r="55" spans="1:8" x14ac:dyDescent="0.3">
      <c r="A55" s="8">
        <v>46</v>
      </c>
      <c r="B55" s="13"/>
      <c r="C55" s="8"/>
      <c r="D55" s="9" t="s">
        <v>11</v>
      </c>
      <c r="E55" s="10">
        <v>0</v>
      </c>
      <c r="F55" s="11"/>
      <c r="G55" s="12"/>
      <c r="H55" s="14"/>
    </row>
    <row r="56" spans="1:8" x14ac:dyDescent="0.3">
      <c r="A56" s="8">
        <v>47</v>
      </c>
      <c r="B56" s="13"/>
      <c r="C56" s="8"/>
      <c r="D56" s="9" t="s">
        <v>11</v>
      </c>
      <c r="E56" s="10">
        <v>0</v>
      </c>
      <c r="F56" s="11"/>
      <c r="G56" s="12"/>
      <c r="H56" s="14"/>
    </row>
    <row r="57" spans="1:8" x14ac:dyDescent="0.3">
      <c r="A57" s="8">
        <v>48</v>
      </c>
      <c r="B57" s="13"/>
      <c r="C57" s="8"/>
      <c r="D57" s="9" t="s">
        <v>11</v>
      </c>
      <c r="E57" s="10">
        <v>0</v>
      </c>
      <c r="F57" s="11"/>
      <c r="G57" s="12"/>
      <c r="H57" s="14"/>
    </row>
    <row r="58" spans="1:8" x14ac:dyDescent="0.3">
      <c r="A58" s="8">
        <v>49</v>
      </c>
      <c r="B58" s="13"/>
      <c r="C58" s="8"/>
      <c r="D58" s="9" t="s">
        <v>11</v>
      </c>
      <c r="E58" s="10">
        <v>0</v>
      </c>
      <c r="F58" s="11"/>
      <c r="G58" s="12"/>
      <c r="H58" s="14"/>
    </row>
    <row r="59" spans="1:8" x14ac:dyDescent="0.3">
      <c r="A59" s="8">
        <v>50</v>
      </c>
      <c r="B59" s="13"/>
      <c r="C59" s="8"/>
      <c r="D59" s="9" t="s">
        <v>11</v>
      </c>
      <c r="E59" s="10">
        <v>0</v>
      </c>
      <c r="F59" s="11"/>
      <c r="G59" s="12"/>
      <c r="H59" s="14"/>
    </row>
    <row r="60" spans="1:8" x14ac:dyDescent="0.3">
      <c r="A60" s="8">
        <v>51</v>
      </c>
      <c r="B60" s="13"/>
      <c r="C60" s="8"/>
      <c r="D60" s="9" t="s">
        <v>11</v>
      </c>
      <c r="E60" s="10">
        <v>0</v>
      </c>
      <c r="F60" s="11"/>
      <c r="G60" s="12"/>
      <c r="H60" s="14"/>
    </row>
    <row r="61" spans="1:8" x14ac:dyDescent="0.3">
      <c r="A61" s="8">
        <v>52</v>
      </c>
      <c r="B61" s="13"/>
      <c r="C61" s="8"/>
      <c r="D61" s="9" t="s">
        <v>11</v>
      </c>
      <c r="E61" s="10">
        <v>0</v>
      </c>
      <c r="F61" s="11"/>
      <c r="G61" s="12"/>
      <c r="H61" s="14"/>
    </row>
    <row r="62" spans="1:8" x14ac:dyDescent="0.3">
      <c r="A62" s="8">
        <v>53</v>
      </c>
      <c r="B62" s="13"/>
      <c r="C62" s="8"/>
      <c r="D62" s="9" t="s">
        <v>11</v>
      </c>
      <c r="E62" s="10">
        <v>0</v>
      </c>
      <c r="F62" s="11"/>
      <c r="G62" s="12"/>
      <c r="H62" s="14"/>
    </row>
    <row r="63" spans="1:8" x14ac:dyDescent="0.3">
      <c r="A63" s="8">
        <v>54</v>
      </c>
      <c r="B63" s="13"/>
      <c r="C63" s="8"/>
      <c r="D63" s="9" t="s">
        <v>11</v>
      </c>
      <c r="E63" s="10">
        <v>0</v>
      </c>
      <c r="F63" s="11"/>
      <c r="G63" s="12"/>
      <c r="H63" s="14"/>
    </row>
    <row r="64" spans="1:8" x14ac:dyDescent="0.3">
      <c r="A64" s="8">
        <v>55</v>
      </c>
      <c r="B64" s="13"/>
      <c r="C64" s="8"/>
      <c r="D64" s="9" t="s">
        <v>11</v>
      </c>
      <c r="E64" s="10">
        <v>0</v>
      </c>
      <c r="F64" s="11"/>
      <c r="G64" s="12"/>
      <c r="H64" s="14"/>
    </row>
    <row r="65" spans="1:8" x14ac:dyDescent="0.3">
      <c r="A65" s="8">
        <v>56</v>
      </c>
      <c r="B65" s="13"/>
      <c r="C65" s="8"/>
      <c r="D65" s="9" t="s">
        <v>11</v>
      </c>
      <c r="E65" s="10">
        <v>0</v>
      </c>
      <c r="F65" s="11"/>
      <c r="G65" s="12"/>
      <c r="H65" s="14"/>
    </row>
    <row r="66" spans="1:8" x14ac:dyDescent="0.3">
      <c r="A66" s="8">
        <v>57</v>
      </c>
      <c r="B66" s="13"/>
      <c r="C66" s="8"/>
      <c r="D66" s="9" t="s">
        <v>11</v>
      </c>
      <c r="E66" s="10">
        <v>0</v>
      </c>
      <c r="F66" s="11"/>
      <c r="G66" s="12"/>
      <c r="H66" s="14"/>
    </row>
    <row r="67" spans="1:8" x14ac:dyDescent="0.3">
      <c r="A67" s="8">
        <v>58</v>
      </c>
      <c r="B67" s="13"/>
      <c r="C67" s="8"/>
      <c r="D67" s="9" t="s">
        <v>11</v>
      </c>
      <c r="E67" s="10">
        <v>0</v>
      </c>
      <c r="F67" s="11"/>
      <c r="G67" s="12"/>
      <c r="H67" s="14"/>
    </row>
    <row r="68" spans="1:8" x14ac:dyDescent="0.3">
      <c r="A68" s="8">
        <v>59</v>
      </c>
      <c r="B68" s="13"/>
      <c r="C68" s="8"/>
      <c r="D68" s="9" t="s">
        <v>11</v>
      </c>
      <c r="E68" s="10">
        <v>0</v>
      </c>
      <c r="F68" s="11"/>
      <c r="G68" s="12"/>
      <c r="H68" s="14"/>
    </row>
    <row r="69" spans="1:8" x14ac:dyDescent="0.3">
      <c r="A69" s="8">
        <v>60</v>
      </c>
      <c r="B69" s="13"/>
      <c r="C69" s="8"/>
      <c r="D69" s="9" t="s">
        <v>11</v>
      </c>
      <c r="E69" s="10">
        <v>0</v>
      </c>
      <c r="F69" s="11"/>
      <c r="G69" s="12"/>
      <c r="H69" s="14"/>
    </row>
    <row r="70" spans="1:8" x14ac:dyDescent="0.3">
      <c r="A70" s="8">
        <v>61</v>
      </c>
      <c r="B70" s="13"/>
      <c r="C70" s="8"/>
      <c r="D70" s="9" t="s">
        <v>11</v>
      </c>
      <c r="E70" s="10">
        <v>0</v>
      </c>
      <c r="F70" s="11"/>
      <c r="G70" s="12"/>
      <c r="H70" s="14"/>
    </row>
    <row r="71" spans="1:8" x14ac:dyDescent="0.3">
      <c r="A71" s="8">
        <v>62</v>
      </c>
      <c r="B71" s="13"/>
      <c r="C71" s="8"/>
      <c r="D71" s="9" t="s">
        <v>11</v>
      </c>
      <c r="E71" s="10">
        <v>0</v>
      </c>
      <c r="F71" s="11"/>
      <c r="G71" s="12"/>
      <c r="H71" s="14"/>
    </row>
    <row r="72" spans="1:8" x14ac:dyDescent="0.3">
      <c r="A72" s="8">
        <v>63</v>
      </c>
      <c r="B72" s="13"/>
      <c r="C72" s="8"/>
      <c r="D72" s="9" t="s">
        <v>11</v>
      </c>
      <c r="E72" s="10">
        <v>0</v>
      </c>
      <c r="F72" s="11"/>
      <c r="G72" s="12"/>
      <c r="H72" s="14"/>
    </row>
    <row r="73" spans="1:8" x14ac:dyDescent="0.3">
      <c r="A73" s="8">
        <v>64</v>
      </c>
      <c r="B73" s="13"/>
      <c r="C73" s="8"/>
      <c r="D73" s="9" t="s">
        <v>11</v>
      </c>
      <c r="E73" s="10">
        <v>0</v>
      </c>
      <c r="F73" s="11"/>
      <c r="G73" s="12"/>
      <c r="H73" s="14"/>
    </row>
    <row r="74" spans="1:8" x14ac:dyDescent="0.3">
      <c r="A74" s="8">
        <v>65</v>
      </c>
      <c r="B74" s="13"/>
      <c r="C74" s="8"/>
      <c r="D74" s="9" t="s">
        <v>11</v>
      </c>
      <c r="E74" s="10">
        <v>0</v>
      </c>
      <c r="F74" s="11"/>
      <c r="G74" s="12"/>
      <c r="H74" s="14"/>
    </row>
    <row r="75" spans="1:8" x14ac:dyDescent="0.3">
      <c r="A75" s="8">
        <v>66</v>
      </c>
      <c r="B75" s="13"/>
      <c r="C75" s="8"/>
      <c r="D75" s="9" t="s">
        <v>11</v>
      </c>
      <c r="E75" s="10">
        <v>0</v>
      </c>
      <c r="F75" s="11"/>
      <c r="G75" s="12"/>
      <c r="H75" s="14"/>
    </row>
    <row r="76" spans="1:8" x14ac:dyDescent="0.3">
      <c r="A76" s="8">
        <v>67</v>
      </c>
      <c r="B76" s="13"/>
      <c r="C76" s="8"/>
      <c r="D76" s="9" t="s">
        <v>11</v>
      </c>
      <c r="E76" s="10">
        <v>0</v>
      </c>
      <c r="F76" s="11"/>
      <c r="G76" s="12"/>
      <c r="H76" s="14"/>
    </row>
    <row r="77" spans="1:8" x14ac:dyDescent="0.3">
      <c r="A77" s="8">
        <v>68</v>
      </c>
      <c r="B77" s="13"/>
      <c r="C77" s="8"/>
      <c r="D77" s="9" t="s">
        <v>11</v>
      </c>
      <c r="E77" s="10">
        <v>0</v>
      </c>
      <c r="F77" s="11"/>
      <c r="G77" s="12"/>
      <c r="H77" s="14"/>
    </row>
    <row r="78" spans="1:8" x14ac:dyDescent="0.3">
      <c r="A78" s="8">
        <v>69</v>
      </c>
      <c r="B78" s="13"/>
      <c r="C78" s="8"/>
      <c r="D78" s="9" t="s">
        <v>11</v>
      </c>
      <c r="E78" s="10">
        <v>0</v>
      </c>
      <c r="F78" s="11"/>
      <c r="G78" s="12"/>
      <c r="H78" s="14"/>
    </row>
    <row r="79" spans="1:8" x14ac:dyDescent="0.3">
      <c r="A79" s="8">
        <v>70</v>
      </c>
      <c r="B79" s="13"/>
      <c r="C79" s="8"/>
      <c r="D79" s="9" t="s">
        <v>11</v>
      </c>
      <c r="E79" s="10">
        <v>0</v>
      </c>
      <c r="F79" s="11"/>
      <c r="G79" s="12"/>
      <c r="H79" s="14"/>
    </row>
    <row r="80" spans="1:8" x14ac:dyDescent="0.3">
      <c r="A80" s="8">
        <v>71</v>
      </c>
      <c r="B80" s="13"/>
      <c r="C80" s="8"/>
      <c r="D80" s="9" t="s">
        <v>11</v>
      </c>
      <c r="E80" s="10">
        <v>0</v>
      </c>
      <c r="F80" s="11"/>
      <c r="G80" s="12"/>
      <c r="H80" s="14"/>
    </row>
    <row r="81" spans="1:8" x14ac:dyDescent="0.3">
      <c r="A81" s="8">
        <v>72</v>
      </c>
      <c r="B81" s="13"/>
      <c r="C81" s="8"/>
      <c r="D81" s="9" t="s">
        <v>11</v>
      </c>
      <c r="E81" s="10">
        <v>0</v>
      </c>
      <c r="F81" s="11"/>
      <c r="G81" s="12"/>
      <c r="H81" s="14"/>
    </row>
    <row r="82" spans="1:8" x14ac:dyDescent="0.3">
      <c r="A82" s="8">
        <v>73</v>
      </c>
      <c r="B82" s="13"/>
      <c r="C82" s="8"/>
      <c r="D82" s="9" t="s">
        <v>11</v>
      </c>
      <c r="E82" s="10">
        <v>0</v>
      </c>
      <c r="F82" s="11"/>
      <c r="G82" s="12"/>
      <c r="H82" s="14"/>
    </row>
    <row r="83" spans="1:8" x14ac:dyDescent="0.3">
      <c r="A83" s="8">
        <v>74</v>
      </c>
      <c r="B83" s="13"/>
      <c r="C83" s="8"/>
      <c r="D83" s="9" t="s">
        <v>11</v>
      </c>
      <c r="E83" s="10">
        <v>0</v>
      </c>
      <c r="F83" s="11"/>
      <c r="G83" s="12"/>
      <c r="H83" s="14"/>
    </row>
    <row r="84" spans="1:8" x14ac:dyDescent="0.3">
      <c r="A84" s="8">
        <v>75</v>
      </c>
      <c r="B84" s="13"/>
      <c r="C84" s="8"/>
      <c r="D84" s="9" t="s">
        <v>11</v>
      </c>
      <c r="E84" s="10">
        <v>0</v>
      </c>
      <c r="F84" s="11"/>
      <c r="G84" s="12"/>
      <c r="H84" s="14"/>
    </row>
    <row r="85" spans="1:8" x14ac:dyDescent="0.3">
      <c r="A85" s="8">
        <v>76</v>
      </c>
      <c r="B85" s="13"/>
      <c r="C85" s="8"/>
      <c r="D85" s="9" t="s">
        <v>11</v>
      </c>
      <c r="E85" s="10">
        <v>0</v>
      </c>
      <c r="F85" s="11"/>
      <c r="G85" s="12"/>
      <c r="H85" s="14"/>
    </row>
    <row r="86" spans="1:8" x14ac:dyDescent="0.3">
      <c r="A86" s="8">
        <v>77</v>
      </c>
      <c r="B86" s="13"/>
      <c r="C86" s="8"/>
      <c r="D86" s="9" t="s">
        <v>11</v>
      </c>
      <c r="E86" s="10">
        <v>0</v>
      </c>
      <c r="F86" s="11"/>
      <c r="G86" s="12"/>
      <c r="H86" s="14"/>
    </row>
    <row r="87" spans="1:8" x14ac:dyDescent="0.3">
      <c r="A87" s="8">
        <v>78</v>
      </c>
      <c r="B87" s="13"/>
      <c r="C87" s="8"/>
      <c r="D87" s="9" t="s">
        <v>11</v>
      </c>
      <c r="E87" s="10">
        <v>0</v>
      </c>
      <c r="F87" s="11"/>
      <c r="G87" s="12"/>
      <c r="H87" s="14"/>
    </row>
    <row r="88" spans="1:8" x14ac:dyDescent="0.3">
      <c r="A88" s="8">
        <v>79</v>
      </c>
      <c r="B88" s="13"/>
      <c r="C88" s="8"/>
      <c r="D88" s="9" t="s">
        <v>11</v>
      </c>
      <c r="E88" s="10">
        <v>0</v>
      </c>
      <c r="F88" s="11"/>
      <c r="G88" s="12"/>
      <c r="H88" s="14"/>
    </row>
    <row r="89" spans="1:8" x14ac:dyDescent="0.3">
      <c r="A89" s="8">
        <v>80</v>
      </c>
      <c r="B89" s="13"/>
      <c r="C89" s="8"/>
      <c r="D89" s="9" t="s">
        <v>11</v>
      </c>
      <c r="E89" s="10">
        <v>0</v>
      </c>
      <c r="F89" s="11"/>
      <c r="G89" s="12"/>
      <c r="H89" s="14"/>
    </row>
    <row r="90" spans="1:8" x14ac:dyDescent="0.3">
      <c r="A90" s="8">
        <v>81</v>
      </c>
      <c r="B90" s="13"/>
      <c r="C90" s="8"/>
      <c r="D90" s="9" t="s">
        <v>11</v>
      </c>
      <c r="E90" s="10">
        <v>0</v>
      </c>
      <c r="F90" s="11"/>
      <c r="G90" s="12"/>
      <c r="H90" s="14"/>
    </row>
    <row r="91" spans="1:8" x14ac:dyDescent="0.3">
      <c r="A91" s="8">
        <v>82</v>
      </c>
      <c r="B91" s="13"/>
      <c r="C91" s="8"/>
      <c r="D91" s="9" t="s">
        <v>11</v>
      </c>
      <c r="E91" s="10">
        <v>0</v>
      </c>
      <c r="F91" s="11"/>
      <c r="G91" s="12"/>
      <c r="H91" s="14"/>
    </row>
    <row r="92" spans="1:8" x14ac:dyDescent="0.3">
      <c r="A92" s="8">
        <v>83</v>
      </c>
      <c r="B92" s="13"/>
      <c r="C92" s="8"/>
      <c r="D92" s="9" t="s">
        <v>11</v>
      </c>
      <c r="E92" s="10">
        <v>0</v>
      </c>
      <c r="F92" s="11"/>
      <c r="G92" s="12"/>
      <c r="H92" s="14"/>
    </row>
    <row r="93" spans="1:8" x14ac:dyDescent="0.3">
      <c r="A93" s="8">
        <v>84</v>
      </c>
      <c r="B93" s="13"/>
      <c r="C93" s="8"/>
      <c r="D93" s="9" t="s">
        <v>11</v>
      </c>
      <c r="E93" s="10">
        <v>0</v>
      </c>
      <c r="F93" s="11"/>
      <c r="G93" s="12"/>
      <c r="H93" s="14"/>
    </row>
    <row r="94" spans="1:8" x14ac:dyDescent="0.3">
      <c r="A94" s="8">
        <v>85</v>
      </c>
      <c r="B94" s="13"/>
      <c r="C94" s="8"/>
      <c r="D94" s="9" t="s">
        <v>11</v>
      </c>
      <c r="E94" s="10">
        <v>0</v>
      </c>
      <c r="F94" s="11"/>
      <c r="G94" s="12"/>
      <c r="H94" s="14"/>
    </row>
    <row r="95" spans="1:8" x14ac:dyDescent="0.3">
      <c r="A95" s="8">
        <v>86</v>
      </c>
      <c r="B95" s="13"/>
      <c r="C95" s="8"/>
      <c r="D95" s="9" t="s">
        <v>11</v>
      </c>
      <c r="E95" s="10">
        <v>0</v>
      </c>
      <c r="F95" s="11"/>
      <c r="G95" s="12"/>
      <c r="H95" s="14"/>
    </row>
    <row r="96" spans="1:8" x14ac:dyDescent="0.3">
      <c r="A96" s="8">
        <v>87</v>
      </c>
      <c r="B96" s="13"/>
      <c r="C96" s="8"/>
      <c r="D96" s="9" t="s">
        <v>11</v>
      </c>
      <c r="E96" s="10">
        <v>0</v>
      </c>
      <c r="F96" s="11"/>
      <c r="G96" s="12"/>
      <c r="H96" s="14"/>
    </row>
    <row r="97" spans="1:8" x14ac:dyDescent="0.3">
      <c r="A97" s="8">
        <v>88</v>
      </c>
      <c r="B97" s="13"/>
      <c r="C97" s="8"/>
      <c r="D97" s="9" t="s">
        <v>11</v>
      </c>
      <c r="E97" s="10">
        <v>0</v>
      </c>
      <c r="F97" s="11"/>
      <c r="G97" s="12"/>
      <c r="H97" s="14"/>
    </row>
    <row r="98" spans="1:8" x14ac:dyDescent="0.3">
      <c r="A98" s="8">
        <v>89</v>
      </c>
      <c r="B98" s="13"/>
      <c r="C98" s="8"/>
      <c r="D98" s="9" t="s">
        <v>11</v>
      </c>
      <c r="E98" s="10">
        <v>0</v>
      </c>
      <c r="F98" s="11"/>
      <c r="G98" s="12"/>
      <c r="H98" s="14"/>
    </row>
    <row r="99" spans="1:8" x14ac:dyDescent="0.3">
      <c r="A99" s="8">
        <v>90</v>
      </c>
      <c r="B99" s="13"/>
      <c r="C99" s="8"/>
      <c r="D99" s="9" t="s">
        <v>11</v>
      </c>
      <c r="E99" s="10">
        <v>0</v>
      </c>
      <c r="F99" s="11"/>
      <c r="G99" s="12"/>
      <c r="H99" s="14"/>
    </row>
    <row r="100" spans="1:8" x14ac:dyDescent="0.3">
      <c r="A100" s="8">
        <v>91</v>
      </c>
      <c r="B100" s="13"/>
      <c r="C100" s="8"/>
      <c r="D100" s="9" t="s">
        <v>11</v>
      </c>
      <c r="E100" s="10">
        <v>0</v>
      </c>
      <c r="F100" s="11"/>
      <c r="G100" s="12"/>
      <c r="H100" s="14"/>
    </row>
    <row r="101" spans="1:8" x14ac:dyDescent="0.3">
      <c r="A101" s="8">
        <v>92</v>
      </c>
      <c r="B101" s="13"/>
      <c r="C101" s="8"/>
      <c r="D101" s="9" t="s">
        <v>11</v>
      </c>
      <c r="E101" s="10">
        <v>0</v>
      </c>
      <c r="F101" s="11"/>
      <c r="G101" s="12"/>
      <c r="H101" s="14"/>
    </row>
    <row r="102" spans="1:8" x14ac:dyDescent="0.3">
      <c r="A102" s="8">
        <v>93</v>
      </c>
      <c r="B102" s="13"/>
      <c r="C102" s="8"/>
      <c r="D102" s="9" t="s">
        <v>11</v>
      </c>
      <c r="E102" s="10">
        <v>0</v>
      </c>
      <c r="F102" s="11"/>
      <c r="G102" s="12"/>
      <c r="H102" s="14"/>
    </row>
    <row r="103" spans="1:8" x14ac:dyDescent="0.3">
      <c r="A103" s="8">
        <v>94</v>
      </c>
      <c r="B103" s="13"/>
      <c r="C103" s="8"/>
      <c r="D103" s="9" t="s">
        <v>11</v>
      </c>
      <c r="E103" s="10">
        <v>0</v>
      </c>
      <c r="F103" s="11"/>
      <c r="G103" s="12"/>
      <c r="H103" s="14"/>
    </row>
    <row r="104" spans="1:8" x14ac:dyDescent="0.3">
      <c r="A104" s="8">
        <v>95</v>
      </c>
      <c r="B104" s="13"/>
      <c r="C104" s="8"/>
      <c r="D104" s="9" t="s">
        <v>11</v>
      </c>
      <c r="E104" s="10">
        <v>0</v>
      </c>
      <c r="F104" s="11"/>
      <c r="G104" s="12"/>
      <c r="H104" s="14"/>
    </row>
    <row r="105" spans="1:8" x14ac:dyDescent="0.3">
      <c r="A105" s="8">
        <v>96</v>
      </c>
      <c r="B105" s="13"/>
      <c r="C105" s="8"/>
      <c r="D105" s="9" t="s">
        <v>11</v>
      </c>
      <c r="E105" s="10">
        <v>0</v>
      </c>
      <c r="F105" s="11"/>
      <c r="G105" s="12"/>
      <c r="H105" s="14"/>
    </row>
    <row r="106" spans="1:8" x14ac:dyDescent="0.3">
      <c r="A106" s="8">
        <v>97</v>
      </c>
      <c r="B106" s="13"/>
      <c r="C106" s="8"/>
      <c r="D106" s="9" t="s">
        <v>11</v>
      </c>
      <c r="E106" s="10">
        <v>0</v>
      </c>
      <c r="F106" s="11"/>
      <c r="G106" s="12"/>
      <c r="H106" s="14"/>
    </row>
    <row r="107" spans="1:8" x14ac:dyDescent="0.3">
      <c r="A107" s="8">
        <v>98</v>
      </c>
      <c r="B107" s="13"/>
      <c r="C107" s="8"/>
      <c r="D107" s="9" t="s">
        <v>11</v>
      </c>
      <c r="E107" s="10">
        <v>0</v>
      </c>
      <c r="F107" s="11"/>
      <c r="G107" s="12"/>
      <c r="H107" s="14"/>
    </row>
    <row r="108" spans="1:8" x14ac:dyDescent="0.3">
      <c r="A108" s="8">
        <v>99</v>
      </c>
      <c r="B108" s="13"/>
      <c r="C108" s="8"/>
      <c r="D108" s="9" t="s">
        <v>11</v>
      </c>
      <c r="E108" s="10">
        <v>0</v>
      </c>
      <c r="F108" s="11"/>
      <c r="G108" s="12"/>
      <c r="H108" s="14"/>
    </row>
    <row r="109" spans="1:8" x14ac:dyDescent="0.3">
      <c r="A109" s="8">
        <v>100</v>
      </c>
      <c r="B109" s="13"/>
      <c r="C109" s="8"/>
      <c r="D109" s="9" t="s">
        <v>11</v>
      </c>
      <c r="E109" s="10">
        <v>0</v>
      </c>
      <c r="F109" s="11"/>
      <c r="G109" s="12"/>
      <c r="H109" s="14"/>
    </row>
    <row r="110" spans="1:8" x14ac:dyDescent="0.3">
      <c r="A110" s="8">
        <v>101</v>
      </c>
      <c r="B110" s="13"/>
      <c r="C110" s="8"/>
      <c r="D110" s="9" t="s">
        <v>11</v>
      </c>
      <c r="E110" s="10">
        <v>0</v>
      </c>
      <c r="F110" s="11"/>
      <c r="G110" s="12"/>
      <c r="H110" s="14"/>
    </row>
    <row r="111" spans="1:8" x14ac:dyDescent="0.3">
      <c r="A111" s="8">
        <v>102</v>
      </c>
      <c r="B111" s="13"/>
      <c r="C111" s="8"/>
      <c r="D111" s="9" t="s">
        <v>11</v>
      </c>
      <c r="E111" s="10">
        <v>0</v>
      </c>
      <c r="F111" s="11"/>
      <c r="G111" s="12"/>
      <c r="H111" s="14"/>
    </row>
    <row r="112" spans="1:8" x14ac:dyDescent="0.3">
      <c r="A112" s="8">
        <v>103</v>
      </c>
      <c r="B112" s="13"/>
      <c r="C112" s="8"/>
      <c r="D112" s="9" t="s">
        <v>11</v>
      </c>
      <c r="E112" s="10">
        <v>0</v>
      </c>
      <c r="F112" s="11"/>
      <c r="G112" s="12"/>
      <c r="H112" s="14"/>
    </row>
    <row r="113" spans="1:8" x14ac:dyDescent="0.3">
      <c r="A113" s="8">
        <v>104</v>
      </c>
      <c r="B113" s="13"/>
      <c r="C113" s="8"/>
      <c r="D113" s="9" t="s">
        <v>11</v>
      </c>
      <c r="E113" s="10">
        <v>0</v>
      </c>
      <c r="F113" s="11"/>
      <c r="G113" s="12"/>
      <c r="H113" s="14"/>
    </row>
    <row r="114" spans="1:8" x14ac:dyDescent="0.3">
      <c r="A114" s="8">
        <v>105</v>
      </c>
      <c r="B114" s="13"/>
      <c r="C114" s="8"/>
      <c r="D114" s="9" t="s">
        <v>11</v>
      </c>
      <c r="E114" s="10">
        <v>0</v>
      </c>
      <c r="F114" s="11"/>
      <c r="G114" s="12"/>
      <c r="H114" s="14"/>
    </row>
    <row r="115" spans="1:8" x14ac:dyDescent="0.3">
      <c r="A115" s="8">
        <v>106</v>
      </c>
      <c r="B115" s="13"/>
      <c r="C115" s="8"/>
      <c r="D115" s="9" t="s">
        <v>11</v>
      </c>
      <c r="E115" s="10">
        <v>0</v>
      </c>
      <c r="F115" s="11"/>
      <c r="G115" s="12"/>
      <c r="H115" s="14"/>
    </row>
    <row r="116" spans="1:8" x14ac:dyDescent="0.3">
      <c r="A116" s="8">
        <v>107</v>
      </c>
      <c r="B116" s="13"/>
      <c r="C116" s="8"/>
      <c r="D116" s="9" t="s">
        <v>11</v>
      </c>
      <c r="E116" s="10">
        <v>0</v>
      </c>
      <c r="F116" s="11"/>
      <c r="G116" s="12"/>
      <c r="H116" s="14"/>
    </row>
    <row r="117" spans="1:8" x14ac:dyDescent="0.3">
      <c r="A117" s="8">
        <v>108</v>
      </c>
      <c r="B117" s="13"/>
      <c r="C117" s="8"/>
      <c r="D117" s="9" t="s">
        <v>11</v>
      </c>
      <c r="E117" s="10">
        <v>0</v>
      </c>
      <c r="F117" s="11"/>
      <c r="G117" s="12"/>
      <c r="H117" s="14"/>
    </row>
    <row r="118" spans="1:8" x14ac:dyDescent="0.3">
      <c r="A118" s="8">
        <v>109</v>
      </c>
      <c r="B118" s="13"/>
      <c r="C118" s="8"/>
      <c r="D118" s="9" t="s">
        <v>11</v>
      </c>
      <c r="E118" s="10">
        <v>0</v>
      </c>
      <c r="F118" s="11"/>
      <c r="G118" s="12"/>
      <c r="H118" s="14"/>
    </row>
    <row r="119" spans="1:8" x14ac:dyDescent="0.3">
      <c r="A119" s="8">
        <v>110</v>
      </c>
      <c r="B119" s="13"/>
      <c r="C119" s="8"/>
      <c r="D119" s="9" t="s">
        <v>11</v>
      </c>
      <c r="E119" s="10">
        <v>0</v>
      </c>
      <c r="F119" s="11"/>
      <c r="G119" s="12"/>
      <c r="H119" s="14"/>
    </row>
    <row r="120" spans="1:8" x14ac:dyDescent="0.3">
      <c r="A120" s="8">
        <v>111</v>
      </c>
      <c r="B120" s="13"/>
      <c r="C120" s="8"/>
      <c r="D120" s="9" t="s">
        <v>11</v>
      </c>
      <c r="E120" s="10">
        <v>0</v>
      </c>
      <c r="F120" s="11"/>
      <c r="G120" s="12"/>
      <c r="H120" s="14"/>
    </row>
    <row r="121" spans="1:8" x14ac:dyDescent="0.3">
      <c r="A121" s="8">
        <v>112</v>
      </c>
      <c r="B121" s="13"/>
      <c r="C121" s="8"/>
      <c r="D121" s="9" t="s">
        <v>11</v>
      </c>
      <c r="E121" s="10">
        <v>0</v>
      </c>
      <c r="F121" s="11"/>
      <c r="G121" s="12"/>
      <c r="H121" s="14"/>
    </row>
    <row r="122" spans="1:8" x14ac:dyDescent="0.3">
      <c r="A122" s="8">
        <v>113</v>
      </c>
      <c r="B122" s="13"/>
      <c r="C122" s="8"/>
      <c r="D122" s="9" t="s">
        <v>11</v>
      </c>
      <c r="E122" s="10">
        <v>0</v>
      </c>
      <c r="F122" s="11"/>
      <c r="G122" s="12"/>
      <c r="H122" s="14"/>
    </row>
    <row r="123" spans="1:8" x14ac:dyDescent="0.3">
      <c r="A123" s="8">
        <v>114</v>
      </c>
      <c r="B123" s="13"/>
      <c r="C123" s="8"/>
      <c r="D123" s="9" t="s">
        <v>11</v>
      </c>
      <c r="E123" s="10">
        <v>0</v>
      </c>
      <c r="F123" s="11"/>
      <c r="G123" s="12"/>
      <c r="H123" s="14"/>
    </row>
    <row r="124" spans="1:8" x14ac:dyDescent="0.3">
      <c r="A124" s="8">
        <v>115</v>
      </c>
      <c r="B124" s="13"/>
      <c r="C124" s="8"/>
      <c r="D124" s="9" t="s">
        <v>11</v>
      </c>
      <c r="E124" s="10">
        <v>0</v>
      </c>
      <c r="F124" s="11"/>
      <c r="G124" s="12"/>
      <c r="H124" s="14"/>
    </row>
    <row r="125" spans="1:8" x14ac:dyDescent="0.3">
      <c r="A125" s="8">
        <v>116</v>
      </c>
      <c r="B125" s="13"/>
      <c r="C125" s="8"/>
      <c r="D125" s="9" t="s">
        <v>11</v>
      </c>
      <c r="E125" s="10">
        <v>0</v>
      </c>
      <c r="F125" s="11"/>
      <c r="G125" s="12"/>
      <c r="H125" s="14"/>
    </row>
    <row r="126" spans="1:8" x14ac:dyDescent="0.3">
      <c r="A126" s="8">
        <v>117</v>
      </c>
      <c r="B126" s="13"/>
      <c r="C126" s="8"/>
      <c r="D126" s="9" t="s">
        <v>11</v>
      </c>
      <c r="E126" s="10">
        <v>0</v>
      </c>
      <c r="F126" s="11"/>
      <c r="G126" s="12"/>
      <c r="H126" s="14"/>
    </row>
    <row r="127" spans="1:8" x14ac:dyDescent="0.3">
      <c r="A127" s="8">
        <v>118</v>
      </c>
      <c r="B127" s="13"/>
      <c r="C127" s="8"/>
      <c r="D127" s="9" t="s">
        <v>11</v>
      </c>
      <c r="E127" s="10">
        <v>0</v>
      </c>
      <c r="F127" s="11"/>
      <c r="G127" s="12"/>
      <c r="H127" s="14"/>
    </row>
    <row r="128" spans="1:8" x14ac:dyDescent="0.3">
      <c r="A128" s="8">
        <v>119</v>
      </c>
      <c r="B128" s="13"/>
      <c r="C128" s="8"/>
      <c r="D128" s="9" t="s">
        <v>11</v>
      </c>
      <c r="E128" s="10">
        <v>0</v>
      </c>
      <c r="F128" s="11"/>
      <c r="G128" s="12"/>
      <c r="H128" s="14"/>
    </row>
    <row r="129" spans="1:8" x14ac:dyDescent="0.3">
      <c r="A129" s="8">
        <v>120</v>
      </c>
      <c r="B129" s="13"/>
      <c r="C129" s="8"/>
      <c r="D129" s="9" t="s">
        <v>11</v>
      </c>
      <c r="E129" s="10">
        <v>0</v>
      </c>
      <c r="F129" s="11"/>
      <c r="G129" s="12"/>
      <c r="H129" s="14"/>
    </row>
    <row r="130" spans="1:8" x14ac:dyDescent="0.3">
      <c r="A130" s="8">
        <v>121</v>
      </c>
      <c r="B130" s="13"/>
      <c r="C130" s="8"/>
      <c r="D130" s="9" t="s">
        <v>11</v>
      </c>
      <c r="E130" s="10">
        <v>0</v>
      </c>
      <c r="F130" s="11"/>
      <c r="G130" s="12"/>
      <c r="H130" s="14"/>
    </row>
    <row r="131" spans="1:8" x14ac:dyDescent="0.3">
      <c r="A131" s="8">
        <v>122</v>
      </c>
      <c r="B131" s="13"/>
      <c r="C131" s="8"/>
      <c r="D131" s="9" t="s">
        <v>11</v>
      </c>
      <c r="E131" s="10">
        <v>0</v>
      </c>
      <c r="F131" s="11"/>
      <c r="G131" s="12"/>
      <c r="H131" s="14"/>
    </row>
    <row r="132" spans="1:8" x14ac:dyDescent="0.3">
      <c r="A132" s="8">
        <v>123</v>
      </c>
      <c r="B132" s="13"/>
      <c r="C132" s="8"/>
      <c r="D132" s="9" t="s">
        <v>11</v>
      </c>
      <c r="E132" s="10">
        <v>0</v>
      </c>
      <c r="F132" s="11"/>
      <c r="G132" s="12"/>
      <c r="H132" s="14"/>
    </row>
    <row r="133" spans="1:8" x14ac:dyDescent="0.3">
      <c r="A133" s="8">
        <v>124</v>
      </c>
      <c r="B133" s="13"/>
      <c r="C133" s="8"/>
      <c r="D133" s="9" t="s">
        <v>11</v>
      </c>
      <c r="E133" s="10">
        <v>0</v>
      </c>
      <c r="F133" s="11"/>
      <c r="G133" s="12"/>
      <c r="H133" s="14"/>
    </row>
    <row r="134" spans="1:8" x14ac:dyDescent="0.3">
      <c r="A134" s="8">
        <v>125</v>
      </c>
      <c r="B134" s="13"/>
      <c r="C134" s="8"/>
      <c r="D134" s="9" t="s">
        <v>11</v>
      </c>
      <c r="E134" s="10">
        <v>0</v>
      </c>
      <c r="F134" s="11"/>
      <c r="G134" s="12"/>
      <c r="H134" s="14"/>
    </row>
    <row r="135" spans="1:8" x14ac:dyDescent="0.3">
      <c r="A135" s="8">
        <v>126</v>
      </c>
      <c r="B135" s="13"/>
      <c r="C135" s="8"/>
      <c r="D135" s="9" t="s">
        <v>11</v>
      </c>
      <c r="E135" s="10">
        <v>0</v>
      </c>
      <c r="F135" s="11"/>
      <c r="G135" s="12"/>
      <c r="H135" s="14"/>
    </row>
    <row r="136" spans="1:8" x14ac:dyDescent="0.3">
      <c r="A136" s="8">
        <v>127</v>
      </c>
      <c r="B136" s="13"/>
      <c r="C136" s="8"/>
      <c r="D136" s="9" t="s">
        <v>11</v>
      </c>
      <c r="E136" s="10">
        <v>0</v>
      </c>
      <c r="F136" s="11"/>
      <c r="G136" s="12"/>
      <c r="H136" s="14"/>
    </row>
    <row r="137" spans="1:8" x14ac:dyDescent="0.3">
      <c r="A137" s="8">
        <v>128</v>
      </c>
      <c r="B137" s="13"/>
      <c r="C137" s="8"/>
      <c r="D137" s="9" t="s">
        <v>11</v>
      </c>
      <c r="E137" s="10">
        <v>0</v>
      </c>
      <c r="F137" s="11"/>
      <c r="G137" s="12"/>
      <c r="H137" s="14"/>
    </row>
    <row r="138" spans="1:8" x14ac:dyDescent="0.3">
      <c r="A138" s="8">
        <v>129</v>
      </c>
      <c r="B138" s="13"/>
      <c r="C138" s="8"/>
      <c r="D138" s="9" t="s">
        <v>11</v>
      </c>
      <c r="E138" s="10">
        <v>0</v>
      </c>
      <c r="F138" s="11"/>
      <c r="G138" s="12"/>
      <c r="H138" s="14"/>
    </row>
    <row r="139" spans="1:8" x14ac:dyDescent="0.3">
      <c r="A139" s="8">
        <v>130</v>
      </c>
      <c r="B139" s="13"/>
      <c r="C139" s="8"/>
      <c r="D139" s="9" t="s">
        <v>11</v>
      </c>
      <c r="E139" s="10">
        <v>0</v>
      </c>
      <c r="F139" s="11"/>
      <c r="G139" s="12"/>
      <c r="H139" s="14"/>
    </row>
    <row r="140" spans="1:8" x14ac:dyDescent="0.3">
      <c r="A140" s="8">
        <v>131</v>
      </c>
      <c r="B140" s="13"/>
      <c r="C140" s="8"/>
      <c r="D140" s="9" t="s">
        <v>11</v>
      </c>
      <c r="E140" s="10">
        <v>0</v>
      </c>
      <c r="F140" s="11"/>
      <c r="G140" s="12"/>
      <c r="H140" s="14"/>
    </row>
    <row r="141" spans="1:8" x14ac:dyDescent="0.3">
      <c r="A141" s="8">
        <v>132</v>
      </c>
      <c r="B141" s="13"/>
      <c r="C141" s="8"/>
      <c r="D141" s="9" t="s">
        <v>11</v>
      </c>
      <c r="E141" s="10">
        <v>0</v>
      </c>
      <c r="F141" s="11"/>
      <c r="G141" s="12"/>
      <c r="H141" s="14"/>
    </row>
    <row r="142" spans="1:8" x14ac:dyDescent="0.3">
      <c r="A142" s="8">
        <v>133</v>
      </c>
      <c r="B142" s="13"/>
      <c r="C142" s="8"/>
      <c r="D142" s="9" t="s">
        <v>11</v>
      </c>
      <c r="E142" s="10">
        <v>0</v>
      </c>
      <c r="F142" s="11"/>
      <c r="G142" s="12"/>
      <c r="H142" s="14"/>
    </row>
    <row r="143" spans="1:8" x14ac:dyDescent="0.3">
      <c r="A143" s="8">
        <v>134</v>
      </c>
      <c r="B143" s="13"/>
      <c r="C143" s="8"/>
      <c r="D143" s="9" t="s">
        <v>11</v>
      </c>
      <c r="E143" s="10">
        <v>0</v>
      </c>
      <c r="F143" s="11"/>
      <c r="G143" s="12"/>
      <c r="H143" s="14"/>
    </row>
    <row r="144" spans="1:8" x14ac:dyDescent="0.3">
      <c r="A144" s="8">
        <v>135</v>
      </c>
      <c r="B144" s="13"/>
      <c r="C144" s="8"/>
      <c r="D144" s="9" t="s">
        <v>11</v>
      </c>
      <c r="E144" s="10">
        <v>0</v>
      </c>
      <c r="F144" s="11"/>
      <c r="G144" s="12"/>
      <c r="H144" s="14"/>
    </row>
    <row r="145" spans="1:8" x14ac:dyDescent="0.3">
      <c r="A145" s="8">
        <v>136</v>
      </c>
      <c r="B145" s="13"/>
      <c r="C145" s="8"/>
      <c r="D145" s="9" t="s">
        <v>11</v>
      </c>
      <c r="E145" s="10">
        <v>0</v>
      </c>
      <c r="F145" s="11"/>
      <c r="G145" s="12"/>
      <c r="H145" s="14"/>
    </row>
    <row r="146" spans="1:8" x14ac:dyDescent="0.3">
      <c r="A146" s="8">
        <v>137</v>
      </c>
      <c r="B146" s="13"/>
      <c r="C146" s="8"/>
      <c r="D146" s="9" t="s">
        <v>11</v>
      </c>
      <c r="E146" s="10">
        <v>0</v>
      </c>
      <c r="F146" s="11"/>
      <c r="G146" s="12"/>
      <c r="H146" s="14"/>
    </row>
    <row r="147" spans="1:8" x14ac:dyDescent="0.3">
      <c r="A147" s="8">
        <v>138</v>
      </c>
      <c r="B147" s="13"/>
      <c r="C147" s="8"/>
      <c r="D147" s="9" t="s">
        <v>11</v>
      </c>
      <c r="E147" s="10">
        <v>0</v>
      </c>
      <c r="F147" s="11"/>
      <c r="G147" s="12"/>
      <c r="H147" s="14"/>
    </row>
    <row r="148" spans="1:8" x14ac:dyDescent="0.3">
      <c r="A148" s="8">
        <v>139</v>
      </c>
      <c r="B148" s="13"/>
      <c r="C148" s="8"/>
      <c r="D148" s="9" t="s">
        <v>11</v>
      </c>
      <c r="E148" s="10">
        <v>0</v>
      </c>
      <c r="F148" s="11"/>
      <c r="G148" s="12"/>
      <c r="H148" s="14"/>
    </row>
    <row r="149" spans="1:8" x14ac:dyDescent="0.3">
      <c r="A149" s="8">
        <v>140</v>
      </c>
      <c r="B149" s="13"/>
      <c r="C149" s="8"/>
      <c r="D149" s="9" t="s">
        <v>11</v>
      </c>
      <c r="E149" s="10">
        <v>0</v>
      </c>
      <c r="F149" s="11"/>
      <c r="G149" s="12"/>
      <c r="H149" s="14"/>
    </row>
    <row r="150" spans="1:8" x14ac:dyDescent="0.3">
      <c r="A150" s="8">
        <v>141</v>
      </c>
      <c r="B150" s="13"/>
      <c r="C150" s="8"/>
      <c r="D150" s="9" t="s">
        <v>11</v>
      </c>
      <c r="E150" s="10">
        <v>0</v>
      </c>
      <c r="F150" s="11"/>
      <c r="G150" s="12"/>
      <c r="H150" s="14"/>
    </row>
    <row r="151" spans="1:8" x14ac:dyDescent="0.3">
      <c r="A151" s="8">
        <v>142</v>
      </c>
      <c r="B151" s="13"/>
      <c r="C151" s="8"/>
      <c r="D151" s="9" t="s">
        <v>11</v>
      </c>
      <c r="E151" s="10">
        <v>0</v>
      </c>
      <c r="F151" s="11"/>
      <c r="G151" s="12"/>
      <c r="H151" s="14"/>
    </row>
    <row r="152" spans="1:8" x14ac:dyDescent="0.3">
      <c r="A152" s="8">
        <v>143</v>
      </c>
      <c r="B152" s="13"/>
      <c r="C152" s="8"/>
      <c r="D152" s="9" t="s">
        <v>11</v>
      </c>
      <c r="E152" s="10">
        <v>0</v>
      </c>
      <c r="F152" s="11"/>
      <c r="G152" s="12"/>
      <c r="H152" s="14"/>
    </row>
    <row r="153" spans="1:8" x14ac:dyDescent="0.3">
      <c r="A153" s="8">
        <v>144</v>
      </c>
      <c r="B153" s="13"/>
      <c r="C153" s="8"/>
      <c r="D153" s="9" t="s">
        <v>11</v>
      </c>
      <c r="E153" s="10">
        <v>0</v>
      </c>
      <c r="F153" s="11"/>
      <c r="G153" s="12"/>
      <c r="H153" s="14"/>
    </row>
    <row r="154" spans="1:8" x14ac:dyDescent="0.3">
      <c r="A154" s="8">
        <v>145</v>
      </c>
      <c r="B154" s="13"/>
      <c r="C154" s="8"/>
      <c r="D154" s="9" t="s">
        <v>11</v>
      </c>
      <c r="E154" s="10">
        <v>0</v>
      </c>
      <c r="F154" s="11"/>
      <c r="G154" s="12"/>
      <c r="H154" s="14"/>
    </row>
    <row r="155" spans="1:8" x14ac:dyDescent="0.3">
      <c r="A155" s="8">
        <v>146</v>
      </c>
      <c r="B155" s="13"/>
      <c r="C155" s="8"/>
      <c r="D155" s="9" t="s">
        <v>11</v>
      </c>
      <c r="E155" s="10">
        <v>0</v>
      </c>
      <c r="F155" s="11"/>
      <c r="G155" s="12"/>
      <c r="H155" s="14"/>
    </row>
    <row r="156" spans="1:8" x14ac:dyDescent="0.3">
      <c r="A156" s="8">
        <v>147</v>
      </c>
      <c r="B156" s="13"/>
      <c r="C156" s="8"/>
      <c r="D156" s="9" t="s">
        <v>11</v>
      </c>
      <c r="E156" s="10">
        <v>0</v>
      </c>
      <c r="F156" s="11"/>
      <c r="G156" s="12"/>
      <c r="H156" s="14"/>
    </row>
    <row r="157" spans="1:8" x14ac:dyDescent="0.3">
      <c r="A157" s="8">
        <v>148</v>
      </c>
      <c r="B157" s="13"/>
      <c r="C157" s="8"/>
      <c r="D157" s="9" t="s">
        <v>11</v>
      </c>
      <c r="E157" s="10">
        <v>0</v>
      </c>
      <c r="F157" s="11"/>
      <c r="G157" s="12"/>
      <c r="H157" s="14"/>
    </row>
    <row r="158" spans="1:8" x14ac:dyDescent="0.3">
      <c r="A158" s="8">
        <v>149</v>
      </c>
      <c r="B158" s="13"/>
      <c r="C158" s="8"/>
      <c r="D158" s="9" t="s">
        <v>11</v>
      </c>
      <c r="E158" s="10">
        <v>0</v>
      </c>
      <c r="F158" s="11"/>
      <c r="G158" s="12"/>
      <c r="H158" s="14"/>
    </row>
    <row r="159" spans="1:8" x14ac:dyDescent="0.3">
      <c r="A159" s="8">
        <v>150</v>
      </c>
      <c r="B159" s="13"/>
      <c r="C159" s="8"/>
      <c r="D159" s="9" t="s">
        <v>11</v>
      </c>
      <c r="E159" s="10">
        <v>0</v>
      </c>
      <c r="F159" s="11"/>
      <c r="G159" s="12"/>
      <c r="H159" s="14"/>
    </row>
    <row r="160" spans="1:8" x14ac:dyDescent="0.3">
      <c r="A160" s="8">
        <v>151</v>
      </c>
      <c r="B160" s="13"/>
      <c r="C160" s="8"/>
      <c r="D160" s="9" t="s">
        <v>11</v>
      </c>
      <c r="E160" s="10">
        <v>0</v>
      </c>
      <c r="F160" s="11"/>
      <c r="G160" s="12"/>
      <c r="H160" s="14"/>
    </row>
    <row r="161" spans="1:8" x14ac:dyDescent="0.3">
      <c r="A161" s="8">
        <v>152</v>
      </c>
      <c r="B161" s="13"/>
      <c r="C161" s="8"/>
      <c r="D161" s="9" t="s">
        <v>11</v>
      </c>
      <c r="E161" s="10">
        <v>0</v>
      </c>
      <c r="F161" s="11"/>
      <c r="G161" s="12"/>
      <c r="H161" s="14"/>
    </row>
    <row r="162" spans="1:8" x14ac:dyDescent="0.3">
      <c r="A162" s="8">
        <v>153</v>
      </c>
      <c r="B162" s="13"/>
      <c r="C162" s="8"/>
      <c r="D162" s="9" t="s">
        <v>11</v>
      </c>
      <c r="E162" s="10">
        <v>0</v>
      </c>
      <c r="F162" s="11"/>
      <c r="G162" s="12"/>
      <c r="H162" s="14"/>
    </row>
    <row r="163" spans="1:8" x14ac:dyDescent="0.3">
      <c r="A163" s="8">
        <v>154</v>
      </c>
      <c r="B163" s="13"/>
      <c r="C163" s="8"/>
      <c r="D163" s="9" t="s">
        <v>11</v>
      </c>
      <c r="E163" s="10">
        <v>0</v>
      </c>
      <c r="F163" s="11"/>
      <c r="G163" s="12"/>
      <c r="H163" s="14"/>
    </row>
    <row r="164" spans="1:8" x14ac:dyDescent="0.3">
      <c r="A164" s="8">
        <v>155</v>
      </c>
      <c r="B164" s="13"/>
      <c r="C164" s="8"/>
      <c r="D164" s="9" t="s">
        <v>11</v>
      </c>
      <c r="E164" s="10">
        <v>0</v>
      </c>
      <c r="F164" s="11"/>
      <c r="G164" s="12"/>
      <c r="H164" s="14"/>
    </row>
    <row r="165" spans="1:8" x14ac:dyDescent="0.3">
      <c r="A165" s="8">
        <v>156</v>
      </c>
      <c r="B165" s="13"/>
      <c r="C165" s="8"/>
      <c r="D165" s="9" t="s">
        <v>11</v>
      </c>
      <c r="E165" s="10">
        <v>0</v>
      </c>
      <c r="F165" s="11"/>
      <c r="G165" s="12"/>
      <c r="H165" s="14"/>
    </row>
    <row r="166" spans="1:8" x14ac:dyDescent="0.3">
      <c r="A166" s="8">
        <v>157</v>
      </c>
      <c r="B166" s="13"/>
      <c r="C166" s="8"/>
      <c r="D166" s="9" t="s">
        <v>11</v>
      </c>
      <c r="E166" s="10">
        <v>0</v>
      </c>
      <c r="F166" s="11"/>
      <c r="G166" s="12"/>
      <c r="H166" s="14"/>
    </row>
    <row r="167" spans="1:8" x14ac:dyDescent="0.3">
      <c r="A167" s="8">
        <v>158</v>
      </c>
      <c r="B167" s="13"/>
      <c r="C167" s="8"/>
      <c r="D167" s="9" t="s">
        <v>11</v>
      </c>
      <c r="E167" s="10">
        <v>0</v>
      </c>
      <c r="F167" s="11"/>
      <c r="G167" s="12"/>
      <c r="H167" s="14"/>
    </row>
    <row r="168" spans="1:8" x14ac:dyDescent="0.3">
      <c r="A168" s="8">
        <v>159</v>
      </c>
      <c r="B168" s="13"/>
      <c r="C168" s="8"/>
      <c r="D168" s="9" t="s">
        <v>11</v>
      </c>
      <c r="E168" s="10">
        <v>0</v>
      </c>
      <c r="F168" s="11"/>
      <c r="G168" s="12"/>
      <c r="H168" s="14"/>
    </row>
    <row r="169" spans="1:8" x14ac:dyDescent="0.3">
      <c r="A169" s="8">
        <v>160</v>
      </c>
      <c r="B169" s="13"/>
      <c r="C169" s="8"/>
      <c r="D169" s="9" t="s">
        <v>11</v>
      </c>
      <c r="E169" s="10">
        <v>0</v>
      </c>
      <c r="F169" s="11"/>
      <c r="G169" s="12"/>
      <c r="H169" s="14"/>
    </row>
    <row r="170" spans="1:8" x14ac:dyDescent="0.3">
      <c r="A170" s="8">
        <v>161</v>
      </c>
      <c r="B170" s="13"/>
      <c r="C170" s="8"/>
      <c r="D170" s="9" t="s">
        <v>11</v>
      </c>
      <c r="E170" s="10">
        <v>0</v>
      </c>
      <c r="F170" s="11"/>
      <c r="G170" s="12"/>
      <c r="H170" s="14"/>
    </row>
    <row r="171" spans="1:8" x14ac:dyDescent="0.3">
      <c r="A171" s="8">
        <v>162</v>
      </c>
      <c r="B171" s="13"/>
      <c r="C171" s="8"/>
      <c r="D171" s="9" t="s">
        <v>11</v>
      </c>
      <c r="E171" s="10">
        <v>0</v>
      </c>
      <c r="F171" s="11"/>
      <c r="G171" s="12"/>
      <c r="H171" s="14"/>
    </row>
    <row r="172" spans="1:8" x14ac:dyDescent="0.3">
      <c r="A172" s="8">
        <v>163</v>
      </c>
      <c r="B172" s="13"/>
      <c r="C172" s="8"/>
      <c r="D172" s="9" t="s">
        <v>11</v>
      </c>
      <c r="E172" s="10">
        <v>0</v>
      </c>
      <c r="F172" s="11"/>
      <c r="G172" s="12"/>
      <c r="H172" s="14"/>
    </row>
    <row r="173" spans="1:8" x14ac:dyDescent="0.3">
      <c r="A173" s="8">
        <v>164</v>
      </c>
      <c r="B173" s="13"/>
      <c r="C173" s="8"/>
      <c r="D173" s="9" t="s">
        <v>11</v>
      </c>
      <c r="E173" s="10">
        <v>0</v>
      </c>
      <c r="F173" s="11"/>
      <c r="G173" s="12"/>
      <c r="H173" s="14"/>
    </row>
    <row r="174" spans="1:8" x14ac:dyDescent="0.3">
      <c r="A174" s="8">
        <v>165</v>
      </c>
      <c r="B174" s="13"/>
      <c r="C174" s="8"/>
      <c r="D174" s="9" t="s">
        <v>11</v>
      </c>
      <c r="E174" s="10">
        <v>0</v>
      </c>
      <c r="F174" s="11"/>
      <c r="G174" s="12"/>
      <c r="H174" s="14"/>
    </row>
    <row r="175" spans="1:8" x14ac:dyDescent="0.3">
      <c r="A175" s="8">
        <v>166</v>
      </c>
      <c r="B175" s="13"/>
      <c r="C175" s="8"/>
      <c r="D175" s="9" t="s">
        <v>11</v>
      </c>
      <c r="E175" s="10">
        <v>0</v>
      </c>
      <c r="F175" s="11"/>
      <c r="G175" s="12"/>
      <c r="H175" s="14"/>
    </row>
    <row r="176" spans="1:8" x14ac:dyDescent="0.3">
      <c r="A176" s="8">
        <v>167</v>
      </c>
      <c r="B176" s="13"/>
      <c r="C176" s="8"/>
      <c r="D176" s="9" t="s">
        <v>11</v>
      </c>
      <c r="E176" s="10">
        <v>0</v>
      </c>
      <c r="F176" s="11"/>
      <c r="G176" s="12"/>
      <c r="H176" s="14"/>
    </row>
    <row r="177" spans="1:8" x14ac:dyDescent="0.3">
      <c r="A177" s="8">
        <v>168</v>
      </c>
      <c r="B177" s="13"/>
      <c r="C177" s="8"/>
      <c r="D177" s="9" t="s">
        <v>11</v>
      </c>
      <c r="E177" s="10">
        <v>0</v>
      </c>
      <c r="F177" s="11"/>
      <c r="G177" s="12"/>
      <c r="H177" s="14"/>
    </row>
    <row r="178" spans="1:8" x14ac:dyDescent="0.3">
      <c r="A178" s="8">
        <v>169</v>
      </c>
      <c r="B178" s="13"/>
      <c r="C178" s="8"/>
      <c r="D178" s="9" t="s">
        <v>11</v>
      </c>
      <c r="E178" s="10">
        <v>0</v>
      </c>
      <c r="F178" s="11"/>
      <c r="G178" s="12"/>
      <c r="H178" s="14"/>
    </row>
    <row r="179" spans="1:8" x14ac:dyDescent="0.3">
      <c r="A179" s="8">
        <v>170</v>
      </c>
      <c r="B179" s="13"/>
      <c r="C179" s="8"/>
      <c r="D179" s="9" t="s">
        <v>11</v>
      </c>
      <c r="E179" s="10">
        <v>0</v>
      </c>
      <c r="F179" s="11"/>
      <c r="G179" s="12"/>
      <c r="H179" s="14"/>
    </row>
    <row r="180" spans="1:8" x14ac:dyDescent="0.3">
      <c r="A180" s="8">
        <v>171</v>
      </c>
      <c r="B180" s="13"/>
      <c r="C180" s="8"/>
      <c r="D180" s="9" t="s">
        <v>11</v>
      </c>
      <c r="E180" s="10">
        <v>0</v>
      </c>
      <c r="F180" s="11"/>
      <c r="G180" s="12"/>
      <c r="H180" s="14"/>
    </row>
    <row r="181" spans="1:8" x14ac:dyDescent="0.3">
      <c r="A181" s="8">
        <v>172</v>
      </c>
      <c r="B181" s="13"/>
      <c r="C181" s="8"/>
      <c r="D181" s="9" t="s">
        <v>11</v>
      </c>
      <c r="E181" s="10">
        <v>0</v>
      </c>
      <c r="F181" s="11"/>
      <c r="G181" s="12"/>
      <c r="H181" s="14"/>
    </row>
    <row r="182" spans="1:8" x14ac:dyDescent="0.3">
      <c r="A182" s="8">
        <v>173</v>
      </c>
      <c r="B182" s="13"/>
      <c r="C182" s="8"/>
      <c r="D182" s="9" t="s">
        <v>11</v>
      </c>
      <c r="E182" s="10">
        <v>0</v>
      </c>
      <c r="F182" s="11"/>
      <c r="G182" s="12"/>
      <c r="H182" s="14"/>
    </row>
    <row r="183" spans="1:8" x14ac:dyDescent="0.3">
      <c r="A183" s="8">
        <v>174</v>
      </c>
      <c r="B183" s="13"/>
      <c r="C183" s="8"/>
      <c r="D183" s="9" t="s">
        <v>11</v>
      </c>
      <c r="E183" s="10">
        <v>0</v>
      </c>
      <c r="F183" s="11"/>
      <c r="G183" s="12"/>
      <c r="H183" s="14"/>
    </row>
    <row r="184" spans="1:8" x14ac:dyDescent="0.3">
      <c r="A184" s="8">
        <v>175</v>
      </c>
      <c r="B184" s="13"/>
      <c r="C184" s="8"/>
      <c r="D184" s="9" t="s">
        <v>11</v>
      </c>
      <c r="E184" s="10">
        <v>0</v>
      </c>
      <c r="F184" s="11"/>
      <c r="G184" s="12"/>
      <c r="H184" s="14"/>
    </row>
    <row r="185" spans="1:8" x14ac:dyDescent="0.3">
      <c r="A185" s="8">
        <v>176</v>
      </c>
      <c r="B185" s="13"/>
      <c r="C185" s="8"/>
      <c r="D185" s="9" t="s">
        <v>11</v>
      </c>
      <c r="E185" s="10">
        <v>0</v>
      </c>
      <c r="F185" s="11"/>
      <c r="G185" s="12"/>
      <c r="H185" s="14"/>
    </row>
    <row r="186" spans="1:8" x14ac:dyDescent="0.3">
      <c r="A186" s="8">
        <v>177</v>
      </c>
      <c r="B186" s="13"/>
      <c r="C186" s="8"/>
      <c r="D186" s="9" t="s">
        <v>11</v>
      </c>
      <c r="E186" s="10">
        <v>0</v>
      </c>
      <c r="F186" s="11"/>
      <c r="G186" s="12"/>
      <c r="H186" s="14"/>
    </row>
    <row r="187" spans="1:8" x14ac:dyDescent="0.3">
      <c r="A187" s="8">
        <v>178</v>
      </c>
      <c r="B187" s="13"/>
      <c r="C187" s="8"/>
      <c r="D187" s="9" t="s">
        <v>11</v>
      </c>
      <c r="E187" s="10">
        <v>0</v>
      </c>
      <c r="F187" s="11"/>
      <c r="G187" s="12"/>
      <c r="H187" s="14"/>
    </row>
    <row r="188" spans="1:8" x14ac:dyDescent="0.3">
      <c r="A188" s="8">
        <v>179</v>
      </c>
      <c r="B188" s="13"/>
      <c r="C188" s="8"/>
      <c r="D188" s="9" t="s">
        <v>11</v>
      </c>
      <c r="E188" s="10">
        <v>0</v>
      </c>
      <c r="F188" s="11"/>
      <c r="G188" s="12"/>
      <c r="H188" s="14"/>
    </row>
    <row r="189" spans="1:8" x14ac:dyDescent="0.3">
      <c r="A189" s="8">
        <v>180</v>
      </c>
      <c r="B189" s="13"/>
      <c r="C189" s="8"/>
      <c r="D189" s="9" t="s">
        <v>11</v>
      </c>
      <c r="E189" s="10">
        <v>0</v>
      </c>
      <c r="F189" s="11"/>
      <c r="G189" s="12"/>
      <c r="H189" s="14"/>
    </row>
    <row r="190" spans="1:8" x14ac:dyDescent="0.3">
      <c r="A190" s="8">
        <v>181</v>
      </c>
      <c r="B190" s="13"/>
      <c r="C190" s="8"/>
      <c r="D190" s="9" t="s">
        <v>11</v>
      </c>
      <c r="E190" s="10">
        <v>0</v>
      </c>
      <c r="F190" s="11"/>
      <c r="G190" s="12"/>
      <c r="H190" s="14"/>
    </row>
    <row r="191" spans="1:8" x14ac:dyDescent="0.3">
      <c r="A191" s="8">
        <v>182</v>
      </c>
      <c r="B191" s="13"/>
      <c r="C191" s="8"/>
      <c r="D191" s="9" t="s">
        <v>11</v>
      </c>
      <c r="E191" s="10">
        <v>0</v>
      </c>
      <c r="F191" s="11"/>
      <c r="G191" s="12"/>
      <c r="H191" s="14"/>
    </row>
    <row r="192" spans="1:8" x14ac:dyDescent="0.3">
      <c r="A192" s="8">
        <v>183</v>
      </c>
      <c r="B192" s="13"/>
      <c r="C192" s="8"/>
      <c r="D192" s="9" t="s">
        <v>11</v>
      </c>
      <c r="E192" s="10">
        <v>0</v>
      </c>
      <c r="F192" s="11"/>
      <c r="G192" s="12"/>
      <c r="H192" s="14"/>
    </row>
    <row r="193" spans="1:8" x14ac:dyDescent="0.3">
      <c r="A193" s="8">
        <v>184</v>
      </c>
      <c r="B193" s="13"/>
      <c r="C193" s="8"/>
      <c r="D193" s="9" t="s">
        <v>11</v>
      </c>
      <c r="E193" s="10">
        <v>0</v>
      </c>
      <c r="F193" s="11"/>
      <c r="G193" s="12"/>
      <c r="H193" s="14"/>
    </row>
    <row r="194" spans="1:8" x14ac:dyDescent="0.3">
      <c r="A194" s="8">
        <v>185</v>
      </c>
      <c r="B194" s="13"/>
      <c r="C194" s="8"/>
      <c r="D194" s="9" t="s">
        <v>11</v>
      </c>
      <c r="E194" s="10">
        <v>0</v>
      </c>
      <c r="F194" s="11"/>
      <c r="G194" s="12"/>
      <c r="H194" s="14"/>
    </row>
    <row r="195" spans="1:8" x14ac:dyDescent="0.3">
      <c r="A195" s="8">
        <v>186</v>
      </c>
      <c r="B195" s="13"/>
      <c r="C195" s="8"/>
      <c r="D195" s="9" t="s">
        <v>11</v>
      </c>
      <c r="E195" s="10">
        <v>0</v>
      </c>
      <c r="F195" s="11"/>
      <c r="G195" s="12"/>
      <c r="H195" s="14"/>
    </row>
    <row r="196" spans="1:8" x14ac:dyDescent="0.3">
      <c r="A196" s="8">
        <v>187</v>
      </c>
      <c r="B196" s="13"/>
      <c r="C196" s="8"/>
      <c r="D196" s="9" t="s">
        <v>11</v>
      </c>
      <c r="E196" s="10">
        <v>0</v>
      </c>
      <c r="F196" s="11"/>
      <c r="G196" s="12"/>
      <c r="H196" s="14"/>
    </row>
    <row r="197" spans="1:8" x14ac:dyDescent="0.3">
      <c r="A197" s="8">
        <v>188</v>
      </c>
      <c r="B197" s="13"/>
      <c r="C197" s="8"/>
      <c r="D197" s="9" t="s">
        <v>11</v>
      </c>
      <c r="E197" s="10">
        <v>0</v>
      </c>
      <c r="F197" s="11"/>
      <c r="G197" s="12"/>
      <c r="H197" s="14"/>
    </row>
    <row r="198" spans="1:8" x14ac:dyDescent="0.3">
      <c r="A198" s="8">
        <v>189</v>
      </c>
      <c r="B198" s="13"/>
      <c r="C198" s="8"/>
      <c r="D198" s="9" t="s">
        <v>11</v>
      </c>
      <c r="E198" s="10">
        <v>0</v>
      </c>
      <c r="F198" s="11"/>
      <c r="G198" s="12"/>
      <c r="H198" s="14"/>
    </row>
    <row r="199" spans="1:8" x14ac:dyDescent="0.3">
      <c r="A199" s="8">
        <v>190</v>
      </c>
      <c r="B199" s="13"/>
      <c r="C199" s="8"/>
      <c r="D199" s="9" t="s">
        <v>11</v>
      </c>
      <c r="E199" s="10">
        <v>0</v>
      </c>
      <c r="F199" s="11"/>
      <c r="G199" s="12"/>
      <c r="H199" s="14"/>
    </row>
    <row r="200" spans="1:8" x14ac:dyDescent="0.3">
      <c r="A200" s="8">
        <v>191</v>
      </c>
      <c r="B200" s="13"/>
      <c r="C200" s="8"/>
      <c r="D200" s="9" t="s">
        <v>11</v>
      </c>
      <c r="E200" s="10">
        <v>0</v>
      </c>
      <c r="F200" s="11"/>
      <c r="G200" s="12"/>
      <c r="H200" s="14"/>
    </row>
    <row r="201" spans="1:8" x14ac:dyDescent="0.3">
      <c r="A201" s="8">
        <v>192</v>
      </c>
      <c r="B201" s="13"/>
      <c r="C201" s="8"/>
      <c r="D201" s="9" t="s">
        <v>11</v>
      </c>
      <c r="E201" s="10">
        <v>0</v>
      </c>
      <c r="F201" s="11"/>
      <c r="G201" s="12"/>
      <c r="H201" s="14"/>
    </row>
    <row r="202" spans="1:8" x14ac:dyDescent="0.3">
      <c r="A202" s="8">
        <v>193</v>
      </c>
      <c r="B202" s="13"/>
      <c r="C202" s="8"/>
      <c r="D202" s="9" t="s">
        <v>11</v>
      </c>
      <c r="E202" s="10">
        <v>0</v>
      </c>
      <c r="F202" s="11"/>
      <c r="G202" s="12"/>
      <c r="H202" s="14"/>
    </row>
    <row r="203" spans="1:8" x14ac:dyDescent="0.3">
      <c r="A203" s="8">
        <v>194</v>
      </c>
      <c r="B203" s="13"/>
      <c r="C203" s="8"/>
      <c r="D203" s="9" t="s">
        <v>11</v>
      </c>
      <c r="E203" s="10">
        <v>0</v>
      </c>
      <c r="F203" s="11"/>
      <c r="G203" s="12"/>
      <c r="H203" s="14"/>
    </row>
    <row r="204" spans="1:8" x14ac:dyDescent="0.3">
      <c r="A204" s="8">
        <v>195</v>
      </c>
      <c r="B204" s="13"/>
      <c r="C204" s="8"/>
      <c r="D204" s="9" t="s">
        <v>11</v>
      </c>
      <c r="E204" s="10">
        <v>0</v>
      </c>
      <c r="F204" s="11"/>
      <c r="G204" s="12"/>
      <c r="H204" s="14"/>
    </row>
    <row r="205" spans="1:8" x14ac:dyDescent="0.3">
      <c r="A205" s="8">
        <v>196</v>
      </c>
      <c r="B205" s="13"/>
      <c r="C205" s="8"/>
      <c r="D205" s="9" t="s">
        <v>11</v>
      </c>
      <c r="E205" s="10">
        <v>0</v>
      </c>
      <c r="F205" s="11"/>
      <c r="G205" s="12"/>
      <c r="H205" s="14"/>
    </row>
    <row r="206" spans="1:8" x14ac:dyDescent="0.3">
      <c r="A206" s="8">
        <v>197</v>
      </c>
      <c r="B206" s="13"/>
      <c r="C206" s="8"/>
      <c r="D206" s="9" t="s">
        <v>11</v>
      </c>
      <c r="E206" s="10">
        <v>0</v>
      </c>
      <c r="F206" s="11"/>
      <c r="G206" s="12"/>
      <c r="H206" s="14"/>
    </row>
    <row r="207" spans="1:8" x14ac:dyDescent="0.3">
      <c r="A207" s="8">
        <v>198</v>
      </c>
      <c r="B207" s="13"/>
      <c r="C207" s="8"/>
      <c r="D207" s="9" t="s">
        <v>11</v>
      </c>
      <c r="E207" s="10">
        <v>0</v>
      </c>
      <c r="F207" s="11"/>
      <c r="G207" s="12"/>
      <c r="H207" s="14"/>
    </row>
    <row r="208" spans="1:8" x14ac:dyDescent="0.3">
      <c r="A208" s="8">
        <v>199</v>
      </c>
      <c r="B208" s="13"/>
      <c r="C208" s="8"/>
      <c r="D208" s="9" t="s">
        <v>11</v>
      </c>
      <c r="E208" s="10">
        <v>0</v>
      </c>
      <c r="F208" s="11"/>
      <c r="G208" s="12"/>
      <c r="H208" s="14"/>
    </row>
    <row r="209" spans="1:8" x14ac:dyDescent="0.3">
      <c r="A209" s="8">
        <v>200</v>
      </c>
      <c r="B209" s="13"/>
      <c r="C209" s="8"/>
      <c r="D209" s="9" t="s">
        <v>11</v>
      </c>
      <c r="E209" s="10">
        <v>0</v>
      </c>
      <c r="F209" s="11"/>
      <c r="G209" s="12"/>
      <c r="H209" s="14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209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209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209" xr:uid="{46E60972-F58F-47BE-8D1D-1C1EDC4ED680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209" xr:uid="{0D265A60-D3D3-42A7-98A2-65AB5F3AFEFD}">
      <formula1>0</formula1>
      <formula2>1</formula2>
    </dataValidation>
    <dataValidation type="decimal" allowBlank="1" showInputMessage="1" showErrorMessage="1" errorTitle="Giá trị không hợp lệ" error="Nhập điểm từ 0 đến 10." sqref="F10:F209" xr:uid="{C8644E2D-0C62-485C-95D2-CA1C77DAE7E0}">
      <formula1>0</formula1>
      <formula2>10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03899-753D-40B2-8289-F13427DCFF42}">
  <sheetPr>
    <tabColor rgb="FF0D9488"/>
  </sheetPr>
  <dimension ref="A1:H13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1236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1237</v>
      </c>
      <c r="C2" s="16" t="s">
        <v>25</v>
      </c>
      <c r="D2" s="15" t="s">
        <v>1238</v>
      </c>
      <c r="E2" s="16" t="s">
        <v>26</v>
      </c>
      <c r="F2" s="15" t="s">
        <v>1239</v>
      </c>
      <c r="G2" s="15"/>
      <c r="H2" s="15"/>
    </row>
    <row r="3" spans="1:8" ht="30" customHeight="1" x14ac:dyDescent="0.3">
      <c r="A3" s="16" t="s">
        <v>27</v>
      </c>
      <c r="B3" s="56" t="s">
        <v>1240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COUNTA(B10:B13)</f>
        <v>4</v>
      </c>
      <c r="B6" s="59"/>
      <c r="C6" s="60">
        <f t="shared" ref="C6" si="1">COUNTIF(D10:D13,"Đã hoàn thành")</f>
        <v>0</v>
      </c>
      <c r="D6" s="60"/>
      <c r="E6" s="61">
        <f t="shared" ref="E6" si="2">IFERROR(AVERAGE(E10:E13),0)</f>
        <v>0</v>
      </c>
      <c r="F6" s="61"/>
      <c r="G6" s="62" t="str">
        <f t="shared" ref="G6" si="3">IFERROR(AVERAGE(F10:F13),"")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1241</v>
      </c>
      <c r="C10" s="18">
        <v>31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1242</v>
      </c>
      <c r="C11" s="18">
        <v>20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1243</v>
      </c>
      <c r="C12" s="18">
        <v>14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25">
        <v>4</v>
      </c>
      <c r="B13" s="26" t="s">
        <v>1244</v>
      </c>
      <c r="C13" s="25">
        <v>12</v>
      </c>
      <c r="D13" s="27" t="s">
        <v>11</v>
      </c>
      <c r="E13" s="28">
        <v>0</v>
      </c>
      <c r="F13" s="29"/>
      <c r="G13" s="30"/>
      <c r="H13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13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13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13" xr:uid="{D439BB9E-3E01-488A-B29B-9705D370AFC9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13" xr:uid="{EF879390-BF60-45BF-8E81-93485117C37C}">
      <formula1>0</formula1>
      <formula2>1</formula2>
    </dataValidation>
    <dataValidation type="decimal" allowBlank="1" showInputMessage="1" showErrorMessage="1" errorTitle="Giá trị không hợp lệ" error="Nhập điểm từ 0 đến 10." sqref="F10:F13" xr:uid="{D29CBE54-92C1-4D68-9620-C26212733EB1}">
      <formula1>0</formula1>
      <formula2>10</formula2>
    </dataValidation>
  </dataValidations>
  <hyperlinks>
    <hyperlink ref="B3" r:id="rId1" display="09 - Viết &amp; Sáng tác/01 - Viết tiểu thuyết/creative-writing-how-to-write-a-novel" xr:uid="{DAACBB94-9425-4AE1-A8A2-57728C3ECE2F}"/>
  </hyperlinks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4E8AB-43EA-4026-98BD-49560BDC1E9F}">
  <sheetPr>
    <tabColor rgb="FF0D9488"/>
  </sheetPr>
  <dimension ref="A1:H19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1222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1223</v>
      </c>
      <c r="C2" s="16" t="s">
        <v>25</v>
      </c>
      <c r="D2" s="15" t="s">
        <v>1224</v>
      </c>
      <c r="E2" s="16" t="s">
        <v>26</v>
      </c>
      <c r="F2" s="15" t="s">
        <v>1225</v>
      </c>
      <c r="G2" s="15"/>
      <c r="H2" s="15"/>
    </row>
    <row r="3" spans="1:8" ht="30" customHeight="1" x14ac:dyDescent="0.3">
      <c r="A3" s="16" t="s">
        <v>27</v>
      </c>
      <c r="B3" s="56" t="s">
        <v>1226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COUNTA(B10:B19)</f>
        <v>10</v>
      </c>
      <c r="B6" s="59"/>
      <c r="C6" s="60">
        <f t="shared" ref="C6" si="1">COUNTIF(D10:D19,"Đã hoàn thành")</f>
        <v>0</v>
      </c>
      <c r="D6" s="60"/>
      <c r="E6" s="61">
        <f t="shared" ref="E6" si="2">IFERROR(AVERAGE(E10:E19),0)</f>
        <v>0</v>
      </c>
      <c r="F6" s="61"/>
      <c r="G6" s="62" t="str">
        <f t="shared" ref="G6" si="3">IFERROR(AVERAGE(F10:F19),"")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62</v>
      </c>
      <c r="C10" s="18">
        <v>3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1227</v>
      </c>
      <c r="C11" s="18">
        <v>21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1228</v>
      </c>
      <c r="C12" s="18">
        <v>7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1229</v>
      </c>
      <c r="C13" s="18">
        <v>13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1230</v>
      </c>
      <c r="C14" s="18">
        <v>7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18">
        <v>6</v>
      </c>
      <c r="B15" s="19" t="s">
        <v>1231</v>
      </c>
      <c r="C15" s="18">
        <v>9</v>
      </c>
      <c r="D15" s="20" t="s">
        <v>11</v>
      </c>
      <c r="E15" s="21">
        <v>0</v>
      </c>
      <c r="F15" s="22"/>
      <c r="G15" s="23"/>
      <c r="H15" s="24"/>
    </row>
    <row r="16" spans="1:8" ht="24" customHeight="1" x14ac:dyDescent="0.3">
      <c r="A16" s="18">
        <v>7</v>
      </c>
      <c r="B16" s="19" t="s">
        <v>1232</v>
      </c>
      <c r="C16" s="18">
        <v>7</v>
      </c>
      <c r="D16" s="20" t="s">
        <v>11</v>
      </c>
      <c r="E16" s="21">
        <v>0</v>
      </c>
      <c r="F16" s="22"/>
      <c r="G16" s="23"/>
      <c r="H16" s="24"/>
    </row>
    <row r="17" spans="1:8" ht="24" customHeight="1" x14ac:dyDescent="0.3">
      <c r="A17" s="18">
        <v>8</v>
      </c>
      <c r="B17" s="19" t="s">
        <v>1233</v>
      </c>
      <c r="C17" s="18">
        <v>16</v>
      </c>
      <c r="D17" s="20" t="s">
        <v>11</v>
      </c>
      <c r="E17" s="21">
        <v>0</v>
      </c>
      <c r="F17" s="22"/>
      <c r="G17" s="23"/>
      <c r="H17" s="24"/>
    </row>
    <row r="18" spans="1:8" ht="24" customHeight="1" x14ac:dyDescent="0.3">
      <c r="A18" s="18">
        <v>9</v>
      </c>
      <c r="B18" s="19" t="s">
        <v>1234</v>
      </c>
      <c r="C18" s="18">
        <v>7</v>
      </c>
      <c r="D18" s="20" t="s">
        <v>11</v>
      </c>
      <c r="E18" s="21">
        <v>0</v>
      </c>
      <c r="F18" s="22"/>
      <c r="G18" s="23"/>
      <c r="H18" s="24"/>
    </row>
    <row r="19" spans="1:8" ht="24" customHeight="1" x14ac:dyDescent="0.3">
      <c r="A19" s="25">
        <v>10</v>
      </c>
      <c r="B19" s="26" t="s">
        <v>1235</v>
      </c>
      <c r="C19" s="25">
        <v>4</v>
      </c>
      <c r="D19" s="27" t="s">
        <v>11</v>
      </c>
      <c r="E19" s="28">
        <v>0</v>
      </c>
      <c r="F19" s="29"/>
      <c r="G19" s="30"/>
      <c r="H19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19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19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19" xr:uid="{7D2DAF1B-7439-4653-9A22-959F00021B19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19" xr:uid="{B1E02A2B-A038-4ED8-A489-9ED26222E9AB}">
      <formula1>0</formula1>
      <formula2>1</formula2>
    </dataValidation>
    <dataValidation type="decimal" allowBlank="1" showInputMessage="1" showErrorMessage="1" errorTitle="Giá trị không hợp lệ" error="Nhập điểm từ 0 đến 10." sqref="F10:F19" xr:uid="{F6E4DBA5-8560-44CE-BBCA-9BB06F150899}">
      <formula1>0</formula1>
      <formula2>10</formula2>
    </dataValidation>
  </dataValidations>
  <hyperlinks>
    <hyperlink ref="B3" r:id="rId1" display="08 - Sức khỏe &amp; Đời sống/01 - Dinh dưỡng/nutrition-masterclass-build-your-perfect-diet-meal-plan" xr:uid="{EB3A6B9B-AE59-4C70-A74C-FB73AE6EE0AD}"/>
  </hyperlinks>
  <pageMargins left="0.7" right="0.7" top="0.75" bottom="0.75" header="0.3" footer="0.3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70F55-9E1F-43F6-BC73-5C48506F0E2D}">
  <sheetPr>
    <tabColor rgb="FF0D9488"/>
  </sheetPr>
  <dimension ref="A1:H10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1218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1219</v>
      </c>
      <c r="C2" s="16" t="s">
        <v>25</v>
      </c>
      <c r="D2" s="15" t="s">
        <v>1204</v>
      </c>
      <c r="E2" s="16" t="s">
        <v>26</v>
      </c>
      <c r="F2" s="15" t="s">
        <v>1215</v>
      </c>
      <c r="G2" s="15"/>
      <c r="H2" s="15"/>
    </row>
    <row r="3" spans="1:8" ht="30" customHeight="1" x14ac:dyDescent="0.3">
      <c r="A3" s="16" t="s">
        <v>27</v>
      </c>
      <c r="B3" s="56" t="s">
        <v>1220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COUNTA(B10:B10)</f>
        <v>1</v>
      </c>
      <c r="B6" s="59"/>
      <c r="C6" s="60">
        <f t="shared" ref="C6" si="1">COUNTIF(D10:D10,"Đã hoàn thành")</f>
        <v>0</v>
      </c>
      <c r="D6" s="60"/>
      <c r="E6" s="61">
        <f t="shared" ref="E6" si="2">IFERROR(AVERAGE(E10:E10),0)</f>
        <v>0</v>
      </c>
      <c r="F6" s="61"/>
      <c r="G6" s="62" t="str">
        <f t="shared" ref="G6" si="3">IFERROR(AVERAGE(F10:F10),"")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25">
        <v>1</v>
      </c>
      <c r="B10" s="26" t="s">
        <v>1221</v>
      </c>
      <c r="C10" s="25">
        <v>59</v>
      </c>
      <c r="D10" s="27" t="s">
        <v>11</v>
      </c>
      <c r="E10" s="28">
        <v>0</v>
      </c>
      <c r="F10" s="29"/>
      <c r="G10" s="30"/>
      <c r="H10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" xr:uid="{2E1A5A85-042A-4AA7-B39E-2B0E8E790A0E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" xr:uid="{0075247F-1809-47BE-ADF5-717E8E686C2D}">
      <formula1>0</formula1>
      <formula2>1</formula2>
    </dataValidation>
    <dataValidation type="decimal" allowBlank="1" showInputMessage="1" showErrorMessage="1" errorTitle="Giá trị không hợp lệ" error="Nhập điểm từ 0 đến 10." sqref="F10" xr:uid="{C45FA6A1-C628-4473-84DF-55FE3CFF9F00}">
      <formula1>0</formula1>
      <formula2>10</formula2>
    </dataValidation>
  </dataValidations>
  <hyperlinks>
    <hyperlink ref="B3" r:id="rId1" display="07 - Kinh doanh &amp; Quản lý/02 - Developer Relations &amp; Technical Writing/technical-writer-roadmap" xr:uid="{5C8D22B6-10A4-4177-A850-8EEFBB7065E7}"/>
  </hyperlinks>
  <pageMargins left="0.7" right="0.7" top="0.75" bottom="0.75" header="0.3" footer="0.3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0D881-5E0A-4A11-BDC2-F8781DB807C3}">
  <sheetPr>
    <tabColor rgb="FF0D9488"/>
  </sheetPr>
  <dimension ref="A1:H11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1213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1214</v>
      </c>
      <c r="C2" s="16" t="s">
        <v>25</v>
      </c>
      <c r="D2" s="15" t="s">
        <v>1204</v>
      </c>
      <c r="E2" s="16" t="s">
        <v>26</v>
      </c>
      <c r="F2" s="15" t="s">
        <v>1215</v>
      </c>
      <c r="G2" s="15"/>
      <c r="H2" s="15"/>
    </row>
    <row r="3" spans="1:8" ht="30" customHeight="1" x14ac:dyDescent="0.3">
      <c r="A3" s="16" t="s">
        <v>27</v>
      </c>
      <c r="B3" s="56" t="s">
        <v>1216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COUNTA(B10:B11)</f>
        <v>2</v>
      </c>
      <c r="B6" s="59"/>
      <c r="C6" s="60">
        <f t="shared" ref="C6" si="1">COUNTIF(D10:D11,"Đã hoàn thành")</f>
        <v>0</v>
      </c>
      <c r="D6" s="60"/>
      <c r="E6" s="61">
        <f t="shared" ref="E6" si="2">IFERROR(AVERAGE(E10:E11),0)</f>
        <v>0</v>
      </c>
      <c r="F6" s="61"/>
      <c r="G6" s="62" t="str">
        <f t="shared" ref="G6" si="3">IFERROR(AVERAGE(F10:F11),"")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1217</v>
      </c>
      <c r="C10" s="18">
        <v>33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25">
        <v>2</v>
      </c>
      <c r="B11" s="26" t="s">
        <v>1212</v>
      </c>
      <c r="C11" s="25">
        <v>5</v>
      </c>
      <c r="D11" s="27" t="s">
        <v>11</v>
      </c>
      <c r="E11" s="28">
        <v>0</v>
      </c>
      <c r="F11" s="29"/>
      <c r="G11" s="30"/>
      <c r="H11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11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11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11" xr:uid="{360DCF75-065C-4BE3-A24A-B8EB4A1DAA8D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11" xr:uid="{621B2429-1250-4B99-A9F1-FD1069E1D9D9}">
      <formula1>0</formula1>
      <formula2>1</formula2>
    </dataValidation>
    <dataValidation type="decimal" allowBlank="1" showInputMessage="1" showErrorMessage="1" errorTitle="Giá trị không hợp lệ" error="Nhập điểm từ 0 đến 10." sqref="F10:F11" xr:uid="{D127E48F-AEA5-4084-B921-F3E3EF6AA957}">
      <formula1>0</formula1>
      <formula2>10</formula2>
    </dataValidation>
  </dataValidations>
  <hyperlinks>
    <hyperlink ref="B3" r:id="rId1" display="07 - Kinh doanh &amp; Quản lý/02 - Developer Relations &amp; Technical Writing/devrel-roadmap" xr:uid="{EA5E06F1-03D0-4676-AFE2-5BCB5551CC6C}"/>
  </hyperlinks>
  <pageMargins left="0.7" right="0.7" top="0.75" bottom="0.75" header="0.3" footer="0.3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EEFEA-A0FD-4430-905B-6CCFE8EC776C}">
  <sheetPr>
    <tabColor rgb="FF0D9488"/>
  </sheetPr>
  <dimension ref="A1:H11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1208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1209</v>
      </c>
      <c r="C2" s="16" t="s">
        <v>25</v>
      </c>
      <c r="D2" s="15" t="s">
        <v>1204</v>
      </c>
      <c r="E2" s="16" t="s">
        <v>26</v>
      </c>
      <c r="F2" s="15" t="s">
        <v>1205</v>
      </c>
      <c r="G2" s="15"/>
      <c r="H2" s="15"/>
    </row>
    <row r="3" spans="1:8" ht="30" customHeight="1" x14ac:dyDescent="0.3">
      <c r="A3" s="16" t="s">
        <v>27</v>
      </c>
      <c r="B3" s="56" t="s">
        <v>1210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COUNTA(B10:B11)</f>
        <v>2</v>
      </c>
      <c r="B6" s="59"/>
      <c r="C6" s="60">
        <f t="shared" ref="C6" si="1">COUNTIF(D10:D11,"Đã hoàn thành")</f>
        <v>0</v>
      </c>
      <c r="D6" s="60"/>
      <c r="E6" s="61">
        <f t="shared" ref="E6" si="2">IFERROR(AVERAGE(E10:E11),0)</f>
        <v>0</v>
      </c>
      <c r="F6" s="61"/>
      <c r="G6" s="62" t="str">
        <f t="shared" ref="G6" si="3">IFERROR(AVERAGE(F10:F11),"")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1211</v>
      </c>
      <c r="C10" s="18">
        <v>148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25">
        <v>2</v>
      </c>
      <c r="B11" s="26" t="s">
        <v>1212</v>
      </c>
      <c r="C11" s="25">
        <v>5</v>
      </c>
      <c r="D11" s="27" t="s">
        <v>11</v>
      </c>
      <c r="E11" s="28">
        <v>0</v>
      </c>
      <c r="F11" s="29"/>
      <c r="G11" s="30"/>
      <c r="H11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11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11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11" xr:uid="{4F3BA62D-1BF8-4811-B4B4-2F64D0977E67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11" xr:uid="{FF42C451-1C02-4C84-BA36-07B160C499D7}">
      <formula1>0</formula1>
      <formula2>1</formula2>
    </dataValidation>
    <dataValidation type="decimal" allowBlank="1" showInputMessage="1" showErrorMessage="1" errorTitle="Giá trị không hợp lệ" error="Nhập điểm từ 0 đến 10." sqref="F10:F11" xr:uid="{DD5E2A2A-BD47-4358-A6AF-05B6E0D3C15B}">
      <formula1>0</formula1>
      <formula2>10</formula2>
    </dataValidation>
  </dataValidations>
  <hyperlinks>
    <hyperlink ref="B3" r:id="rId1" display="07 - Kinh doanh &amp; Quản lý/01 - Product &amp; Engineering Management/product-manager-roadmap" xr:uid="{234B043B-6302-4B11-AECC-DE0D680A515A}"/>
  </hyperlinks>
  <pageMargins left="0.7" right="0.7" top="0.75" bottom="0.75" header="0.3" footer="0.3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A9E7B-1C41-4AEC-8CF9-6E377CA1266F}">
  <sheetPr>
    <tabColor rgb="FF0D9488"/>
  </sheetPr>
  <dimension ref="A1:H10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1202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1203</v>
      </c>
      <c r="C2" s="16" t="s">
        <v>25</v>
      </c>
      <c r="D2" s="15" t="s">
        <v>1204</v>
      </c>
      <c r="E2" s="16" t="s">
        <v>26</v>
      </c>
      <c r="F2" s="15" t="s">
        <v>1205</v>
      </c>
      <c r="G2" s="15"/>
      <c r="H2" s="15"/>
    </row>
    <row r="3" spans="1:8" ht="30" customHeight="1" x14ac:dyDescent="0.3">
      <c r="A3" s="16" t="s">
        <v>27</v>
      </c>
      <c r="B3" s="56" t="s">
        <v>1206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COUNTA(B10:B10)</f>
        <v>1</v>
      </c>
      <c r="B6" s="59"/>
      <c r="C6" s="60">
        <f t="shared" ref="C6" si="1">COUNTIF(D10:D10,"Đã hoàn thành")</f>
        <v>0</v>
      </c>
      <c r="D6" s="60"/>
      <c r="E6" s="61">
        <f t="shared" ref="E6" si="2">IFERROR(AVERAGE(E10:E10),0)</f>
        <v>0</v>
      </c>
      <c r="F6" s="61"/>
      <c r="G6" s="62" t="str">
        <f t="shared" ref="G6" si="3">IFERROR(AVERAGE(F10:F10),"")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25">
        <v>1</v>
      </c>
      <c r="B10" s="26" t="s">
        <v>1207</v>
      </c>
      <c r="C10" s="25">
        <v>98</v>
      </c>
      <c r="D10" s="27" t="s">
        <v>11</v>
      </c>
      <c r="E10" s="28">
        <v>0</v>
      </c>
      <c r="F10" s="29"/>
      <c r="G10" s="30"/>
      <c r="H10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" xr:uid="{262CA840-F7E6-4AEF-85EE-DBB1265C0E44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" xr:uid="{A7FB4312-2B24-45A4-8053-3E44B266FB29}">
      <formula1>0</formula1>
      <formula2>1</formula2>
    </dataValidation>
    <dataValidation type="decimal" allowBlank="1" showInputMessage="1" showErrorMessage="1" errorTitle="Giá trị không hợp lệ" error="Nhập điểm từ 0 đến 10." sqref="F10" xr:uid="{88B1AB50-12D6-458D-9F93-A92CDC37FDF8}">
      <formula1>0</formula1>
      <formula2>10</formula2>
    </dataValidation>
  </dataValidations>
  <hyperlinks>
    <hyperlink ref="B3" r:id="rId1" display="07 - Kinh doanh &amp; Quản lý/01 - Product &amp; Engineering Management/engineering-manager-roadmap" xr:uid="{51CDD03B-AB9D-474D-A0A8-CF2174A86B0F}"/>
  </hyperlinks>
  <pageMargins left="0.7" right="0.7" top="0.75" bottom="0.75" header="0.3" footer="0.3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9E925-8F23-4298-A6F2-7280FD3FC01E}">
  <sheetPr>
    <tabColor rgb="FF0D9488"/>
  </sheetPr>
  <dimension ref="A1:H91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1116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1117</v>
      </c>
      <c r="C2" s="16" t="s">
        <v>25</v>
      </c>
      <c r="D2" s="15" t="s">
        <v>670</v>
      </c>
      <c r="E2" s="16" t="s">
        <v>26</v>
      </c>
      <c r="F2" s="15" t="s">
        <v>1118</v>
      </c>
      <c r="G2" s="15"/>
      <c r="H2" s="15"/>
    </row>
    <row r="3" spans="1:8" ht="30" customHeight="1" x14ac:dyDescent="0.3">
      <c r="A3" s="16" t="s">
        <v>27</v>
      </c>
      <c r="B3" s="56" t="s">
        <v>1119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COUNTA(B10:B91)</f>
        <v>82</v>
      </c>
      <c r="B6" s="59"/>
      <c r="C6" s="60">
        <f t="shared" ref="C6" si="1">COUNTIF(D10:D91,"Đã hoàn thành")</f>
        <v>0</v>
      </c>
      <c r="D6" s="60"/>
      <c r="E6" s="61">
        <f t="shared" ref="E6" si="2">IFERROR(AVERAGE(E10:E91),0)</f>
        <v>0</v>
      </c>
      <c r="F6" s="61"/>
      <c r="G6" s="62" t="str">
        <f t="shared" ref="G6" si="3">IFERROR(AVERAGE(F10:F91),"")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1120</v>
      </c>
      <c r="C10" s="18">
        <v>4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1121</v>
      </c>
      <c r="C11" s="18">
        <v>10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1122</v>
      </c>
      <c r="C12" s="18">
        <v>9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1123</v>
      </c>
      <c r="C13" s="18">
        <v>19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1124</v>
      </c>
      <c r="C14" s="18">
        <v>11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18">
        <v>6</v>
      </c>
      <c r="B15" s="19" t="s">
        <v>1125</v>
      </c>
      <c r="C15" s="18">
        <v>12</v>
      </c>
      <c r="D15" s="20" t="s">
        <v>11</v>
      </c>
      <c r="E15" s="21">
        <v>0</v>
      </c>
      <c r="F15" s="22"/>
      <c r="G15" s="23"/>
      <c r="H15" s="24"/>
    </row>
    <row r="16" spans="1:8" ht="24" customHeight="1" x14ac:dyDescent="0.3">
      <c r="A16" s="18">
        <v>7</v>
      </c>
      <c r="B16" s="19" t="s">
        <v>1126</v>
      </c>
      <c r="C16" s="18">
        <v>2</v>
      </c>
      <c r="D16" s="20" t="s">
        <v>11</v>
      </c>
      <c r="E16" s="21">
        <v>0</v>
      </c>
      <c r="F16" s="22"/>
      <c r="G16" s="23"/>
      <c r="H16" s="24"/>
    </row>
    <row r="17" spans="1:8" ht="24" customHeight="1" x14ac:dyDescent="0.3">
      <c r="A17" s="18">
        <v>8</v>
      </c>
      <c r="B17" s="19" t="s">
        <v>1127</v>
      </c>
      <c r="C17" s="18">
        <v>7</v>
      </c>
      <c r="D17" s="20" t="s">
        <v>11</v>
      </c>
      <c r="E17" s="21">
        <v>0</v>
      </c>
      <c r="F17" s="22"/>
      <c r="G17" s="23"/>
      <c r="H17" s="24"/>
    </row>
    <row r="18" spans="1:8" ht="24" customHeight="1" x14ac:dyDescent="0.3">
      <c r="A18" s="18">
        <v>9</v>
      </c>
      <c r="B18" s="19" t="s">
        <v>1128</v>
      </c>
      <c r="C18" s="18">
        <v>6</v>
      </c>
      <c r="D18" s="20" t="s">
        <v>11</v>
      </c>
      <c r="E18" s="21">
        <v>0</v>
      </c>
      <c r="F18" s="22"/>
      <c r="G18" s="23"/>
      <c r="H18" s="24"/>
    </row>
    <row r="19" spans="1:8" ht="24" customHeight="1" x14ac:dyDescent="0.3">
      <c r="A19" s="18">
        <v>10</v>
      </c>
      <c r="B19" s="19" t="s">
        <v>1129</v>
      </c>
      <c r="C19" s="18">
        <v>4</v>
      </c>
      <c r="D19" s="20" t="s">
        <v>11</v>
      </c>
      <c r="E19" s="21">
        <v>0</v>
      </c>
      <c r="F19" s="22"/>
      <c r="G19" s="23"/>
      <c r="H19" s="24"/>
    </row>
    <row r="20" spans="1:8" ht="24" customHeight="1" x14ac:dyDescent="0.3">
      <c r="A20" s="18">
        <v>11</v>
      </c>
      <c r="B20" s="19" t="s">
        <v>1130</v>
      </c>
      <c r="C20" s="18">
        <v>10</v>
      </c>
      <c r="D20" s="20" t="s">
        <v>11</v>
      </c>
      <c r="E20" s="21">
        <v>0</v>
      </c>
      <c r="F20" s="22"/>
      <c r="G20" s="23"/>
      <c r="H20" s="24"/>
    </row>
    <row r="21" spans="1:8" ht="24" customHeight="1" x14ac:dyDescent="0.3">
      <c r="A21" s="18">
        <v>12</v>
      </c>
      <c r="B21" s="19" t="s">
        <v>1131</v>
      </c>
      <c r="C21" s="18">
        <v>7</v>
      </c>
      <c r="D21" s="20" t="s">
        <v>11</v>
      </c>
      <c r="E21" s="21">
        <v>0</v>
      </c>
      <c r="F21" s="22"/>
      <c r="G21" s="23"/>
      <c r="H21" s="24"/>
    </row>
    <row r="22" spans="1:8" ht="24" customHeight="1" x14ac:dyDescent="0.3">
      <c r="A22" s="18">
        <v>13</v>
      </c>
      <c r="B22" s="19" t="s">
        <v>1132</v>
      </c>
      <c r="C22" s="18">
        <v>8</v>
      </c>
      <c r="D22" s="20" t="s">
        <v>11</v>
      </c>
      <c r="E22" s="21">
        <v>0</v>
      </c>
      <c r="F22" s="22"/>
      <c r="G22" s="23"/>
      <c r="H22" s="24"/>
    </row>
    <row r="23" spans="1:8" ht="24" customHeight="1" x14ac:dyDescent="0.3">
      <c r="A23" s="18">
        <v>14</v>
      </c>
      <c r="B23" s="19" t="s">
        <v>1133</v>
      </c>
      <c r="C23" s="18">
        <v>16</v>
      </c>
      <c r="D23" s="20" t="s">
        <v>11</v>
      </c>
      <c r="E23" s="21">
        <v>0</v>
      </c>
      <c r="F23" s="22"/>
      <c r="G23" s="23"/>
      <c r="H23" s="24"/>
    </row>
    <row r="24" spans="1:8" ht="24" customHeight="1" x14ac:dyDescent="0.3">
      <c r="A24" s="18">
        <v>15</v>
      </c>
      <c r="B24" s="19" t="s">
        <v>1134</v>
      </c>
      <c r="C24" s="18">
        <v>3</v>
      </c>
      <c r="D24" s="20" t="s">
        <v>11</v>
      </c>
      <c r="E24" s="21">
        <v>0</v>
      </c>
      <c r="F24" s="22"/>
      <c r="G24" s="23"/>
      <c r="H24" s="24"/>
    </row>
    <row r="25" spans="1:8" ht="24" customHeight="1" x14ac:dyDescent="0.3">
      <c r="A25" s="18">
        <v>16</v>
      </c>
      <c r="B25" s="19" t="s">
        <v>1135</v>
      </c>
      <c r="C25" s="18">
        <v>6</v>
      </c>
      <c r="D25" s="20" t="s">
        <v>11</v>
      </c>
      <c r="E25" s="21">
        <v>0</v>
      </c>
      <c r="F25" s="22"/>
      <c r="G25" s="23"/>
      <c r="H25" s="24"/>
    </row>
    <row r="26" spans="1:8" ht="24" customHeight="1" x14ac:dyDescent="0.3">
      <c r="A26" s="18">
        <v>17</v>
      </c>
      <c r="B26" s="19" t="s">
        <v>1136</v>
      </c>
      <c r="C26" s="18">
        <v>16</v>
      </c>
      <c r="D26" s="20" t="s">
        <v>11</v>
      </c>
      <c r="E26" s="21">
        <v>0</v>
      </c>
      <c r="F26" s="22"/>
      <c r="G26" s="23"/>
      <c r="H26" s="24"/>
    </row>
    <row r="27" spans="1:8" ht="24" customHeight="1" x14ac:dyDescent="0.3">
      <c r="A27" s="18">
        <v>18</v>
      </c>
      <c r="B27" s="19" t="s">
        <v>1137</v>
      </c>
      <c r="C27" s="18">
        <v>4</v>
      </c>
      <c r="D27" s="20" t="s">
        <v>11</v>
      </c>
      <c r="E27" s="21">
        <v>0</v>
      </c>
      <c r="F27" s="22"/>
      <c r="G27" s="23"/>
      <c r="H27" s="24"/>
    </row>
    <row r="28" spans="1:8" ht="24" customHeight="1" x14ac:dyDescent="0.3">
      <c r="A28" s="18">
        <v>19</v>
      </c>
      <c r="B28" s="19" t="s">
        <v>1138</v>
      </c>
      <c r="C28" s="18">
        <v>6</v>
      </c>
      <c r="D28" s="20" t="s">
        <v>11</v>
      </c>
      <c r="E28" s="21">
        <v>0</v>
      </c>
      <c r="F28" s="22"/>
      <c r="G28" s="23"/>
      <c r="H28" s="24"/>
    </row>
    <row r="29" spans="1:8" ht="24" customHeight="1" x14ac:dyDescent="0.3">
      <c r="A29" s="18">
        <v>20</v>
      </c>
      <c r="B29" s="19" t="s">
        <v>1139</v>
      </c>
      <c r="C29" s="18">
        <v>6</v>
      </c>
      <c r="D29" s="20" t="s">
        <v>11</v>
      </c>
      <c r="E29" s="21">
        <v>0</v>
      </c>
      <c r="F29" s="22"/>
      <c r="G29" s="23"/>
      <c r="H29" s="24"/>
    </row>
    <row r="30" spans="1:8" ht="24" customHeight="1" x14ac:dyDescent="0.3">
      <c r="A30" s="18">
        <v>21</v>
      </c>
      <c r="B30" s="19" t="s">
        <v>1140</v>
      </c>
      <c r="C30" s="18">
        <v>6</v>
      </c>
      <c r="D30" s="20" t="s">
        <v>11</v>
      </c>
      <c r="E30" s="21">
        <v>0</v>
      </c>
      <c r="F30" s="22"/>
      <c r="G30" s="23"/>
      <c r="H30" s="24"/>
    </row>
    <row r="31" spans="1:8" ht="24" customHeight="1" x14ac:dyDescent="0.3">
      <c r="A31" s="18">
        <v>22</v>
      </c>
      <c r="B31" s="19" t="s">
        <v>1141</v>
      </c>
      <c r="C31" s="18">
        <v>20</v>
      </c>
      <c r="D31" s="20" t="s">
        <v>11</v>
      </c>
      <c r="E31" s="21">
        <v>0</v>
      </c>
      <c r="F31" s="22"/>
      <c r="G31" s="23"/>
      <c r="H31" s="24"/>
    </row>
    <row r="32" spans="1:8" ht="24" customHeight="1" x14ac:dyDescent="0.3">
      <c r="A32" s="18">
        <v>23</v>
      </c>
      <c r="B32" s="19" t="s">
        <v>1142</v>
      </c>
      <c r="C32" s="18">
        <v>4</v>
      </c>
      <c r="D32" s="20" t="s">
        <v>11</v>
      </c>
      <c r="E32" s="21">
        <v>0</v>
      </c>
      <c r="F32" s="22"/>
      <c r="G32" s="23"/>
      <c r="H32" s="24"/>
    </row>
    <row r="33" spans="1:8" ht="24" customHeight="1" x14ac:dyDescent="0.3">
      <c r="A33" s="18">
        <v>24</v>
      </c>
      <c r="B33" s="19" t="s">
        <v>1143</v>
      </c>
      <c r="C33" s="18">
        <v>8</v>
      </c>
      <c r="D33" s="20" t="s">
        <v>11</v>
      </c>
      <c r="E33" s="21">
        <v>0</v>
      </c>
      <c r="F33" s="22"/>
      <c r="G33" s="23"/>
      <c r="H33" s="24"/>
    </row>
    <row r="34" spans="1:8" ht="24" customHeight="1" x14ac:dyDescent="0.3">
      <c r="A34" s="18">
        <v>25</v>
      </c>
      <c r="B34" s="19" t="s">
        <v>1144</v>
      </c>
      <c r="C34" s="18">
        <v>4</v>
      </c>
      <c r="D34" s="20" t="s">
        <v>11</v>
      </c>
      <c r="E34" s="21">
        <v>0</v>
      </c>
      <c r="F34" s="22"/>
      <c r="G34" s="23"/>
      <c r="H34" s="24"/>
    </row>
    <row r="35" spans="1:8" ht="24" customHeight="1" x14ac:dyDescent="0.3">
      <c r="A35" s="18">
        <v>26</v>
      </c>
      <c r="B35" s="19" t="s">
        <v>1145</v>
      </c>
      <c r="C35" s="18">
        <v>4</v>
      </c>
      <c r="D35" s="20" t="s">
        <v>11</v>
      </c>
      <c r="E35" s="21">
        <v>0</v>
      </c>
      <c r="F35" s="22"/>
      <c r="G35" s="23"/>
      <c r="H35" s="24"/>
    </row>
    <row r="36" spans="1:8" ht="24" customHeight="1" x14ac:dyDescent="0.3">
      <c r="A36" s="18">
        <v>27</v>
      </c>
      <c r="B36" s="19" t="s">
        <v>1146</v>
      </c>
      <c r="C36" s="18">
        <v>10</v>
      </c>
      <c r="D36" s="20" t="s">
        <v>11</v>
      </c>
      <c r="E36" s="21">
        <v>0</v>
      </c>
      <c r="F36" s="22"/>
      <c r="G36" s="23"/>
      <c r="H36" s="24"/>
    </row>
    <row r="37" spans="1:8" ht="24" customHeight="1" x14ac:dyDescent="0.3">
      <c r="A37" s="18">
        <v>28</v>
      </c>
      <c r="B37" s="19" t="s">
        <v>1147</v>
      </c>
      <c r="C37" s="18">
        <v>6</v>
      </c>
      <c r="D37" s="20" t="s">
        <v>11</v>
      </c>
      <c r="E37" s="21">
        <v>0</v>
      </c>
      <c r="F37" s="22"/>
      <c r="G37" s="23"/>
      <c r="H37" s="24"/>
    </row>
    <row r="38" spans="1:8" ht="24" customHeight="1" x14ac:dyDescent="0.3">
      <c r="A38" s="18">
        <v>29</v>
      </c>
      <c r="B38" s="19" t="s">
        <v>1148</v>
      </c>
      <c r="C38" s="18">
        <v>4</v>
      </c>
      <c r="D38" s="20" t="s">
        <v>11</v>
      </c>
      <c r="E38" s="21">
        <v>0</v>
      </c>
      <c r="F38" s="22"/>
      <c r="G38" s="23"/>
      <c r="H38" s="24"/>
    </row>
    <row r="39" spans="1:8" ht="24" customHeight="1" x14ac:dyDescent="0.3">
      <c r="A39" s="18">
        <v>30</v>
      </c>
      <c r="B39" s="19" t="s">
        <v>1149</v>
      </c>
      <c r="C39" s="18">
        <v>14</v>
      </c>
      <c r="D39" s="20" t="s">
        <v>11</v>
      </c>
      <c r="E39" s="21">
        <v>0</v>
      </c>
      <c r="F39" s="22"/>
      <c r="G39" s="23"/>
      <c r="H39" s="24"/>
    </row>
    <row r="40" spans="1:8" ht="24" customHeight="1" x14ac:dyDescent="0.3">
      <c r="A40" s="18">
        <v>31</v>
      </c>
      <c r="B40" s="19" t="s">
        <v>1150</v>
      </c>
      <c r="C40" s="18">
        <v>16</v>
      </c>
      <c r="D40" s="20" t="s">
        <v>11</v>
      </c>
      <c r="E40" s="21">
        <v>0</v>
      </c>
      <c r="F40" s="22"/>
      <c r="G40" s="23"/>
      <c r="H40" s="24"/>
    </row>
    <row r="41" spans="1:8" ht="24" customHeight="1" x14ac:dyDescent="0.3">
      <c r="A41" s="18">
        <v>32</v>
      </c>
      <c r="B41" s="19" t="s">
        <v>1151</v>
      </c>
      <c r="C41" s="18">
        <v>19</v>
      </c>
      <c r="D41" s="20" t="s">
        <v>11</v>
      </c>
      <c r="E41" s="21">
        <v>0</v>
      </c>
      <c r="F41" s="22"/>
      <c r="G41" s="23"/>
      <c r="H41" s="24"/>
    </row>
    <row r="42" spans="1:8" ht="24" customHeight="1" x14ac:dyDescent="0.3">
      <c r="A42" s="18">
        <v>33</v>
      </c>
      <c r="B42" s="19" t="s">
        <v>1152</v>
      </c>
      <c r="C42" s="18">
        <v>17</v>
      </c>
      <c r="D42" s="20" t="s">
        <v>11</v>
      </c>
      <c r="E42" s="21">
        <v>0</v>
      </c>
      <c r="F42" s="22"/>
      <c r="G42" s="23"/>
      <c r="H42" s="24"/>
    </row>
    <row r="43" spans="1:8" ht="24" customHeight="1" x14ac:dyDescent="0.3">
      <c r="A43" s="18">
        <v>34</v>
      </c>
      <c r="B43" s="19" t="s">
        <v>1153</v>
      </c>
      <c r="C43" s="18">
        <v>7</v>
      </c>
      <c r="D43" s="20" t="s">
        <v>11</v>
      </c>
      <c r="E43" s="21">
        <v>0</v>
      </c>
      <c r="F43" s="22"/>
      <c r="G43" s="23"/>
      <c r="H43" s="24"/>
    </row>
    <row r="44" spans="1:8" ht="24" customHeight="1" x14ac:dyDescent="0.3">
      <c r="A44" s="18">
        <v>35</v>
      </c>
      <c r="B44" s="19" t="s">
        <v>1154</v>
      </c>
      <c r="C44" s="18">
        <v>4</v>
      </c>
      <c r="D44" s="20" t="s">
        <v>11</v>
      </c>
      <c r="E44" s="21">
        <v>0</v>
      </c>
      <c r="F44" s="22"/>
      <c r="G44" s="23"/>
      <c r="H44" s="24"/>
    </row>
    <row r="45" spans="1:8" ht="24" customHeight="1" x14ac:dyDescent="0.3">
      <c r="A45" s="18">
        <v>36</v>
      </c>
      <c r="B45" s="19" t="s">
        <v>1155</v>
      </c>
      <c r="C45" s="18">
        <v>5</v>
      </c>
      <c r="D45" s="20" t="s">
        <v>11</v>
      </c>
      <c r="E45" s="21">
        <v>0</v>
      </c>
      <c r="F45" s="22"/>
      <c r="G45" s="23"/>
      <c r="H45" s="24"/>
    </row>
    <row r="46" spans="1:8" ht="24" customHeight="1" x14ac:dyDescent="0.3">
      <c r="A46" s="18">
        <v>37</v>
      </c>
      <c r="B46" s="19" t="s">
        <v>1156</v>
      </c>
      <c r="C46" s="18">
        <v>5</v>
      </c>
      <c r="D46" s="20" t="s">
        <v>11</v>
      </c>
      <c r="E46" s="21">
        <v>0</v>
      </c>
      <c r="F46" s="22"/>
      <c r="G46" s="23"/>
      <c r="H46" s="24"/>
    </row>
    <row r="47" spans="1:8" ht="24" customHeight="1" x14ac:dyDescent="0.3">
      <c r="A47" s="18">
        <v>38</v>
      </c>
      <c r="B47" s="19" t="s">
        <v>1157</v>
      </c>
      <c r="C47" s="18">
        <v>5</v>
      </c>
      <c r="D47" s="20" t="s">
        <v>11</v>
      </c>
      <c r="E47" s="21">
        <v>0</v>
      </c>
      <c r="F47" s="22"/>
      <c r="G47" s="23"/>
      <c r="H47" s="24"/>
    </row>
    <row r="48" spans="1:8" ht="24" customHeight="1" x14ac:dyDescent="0.3">
      <c r="A48" s="18">
        <v>39</v>
      </c>
      <c r="B48" s="19" t="s">
        <v>1158</v>
      </c>
      <c r="C48" s="18">
        <v>5</v>
      </c>
      <c r="D48" s="20" t="s">
        <v>11</v>
      </c>
      <c r="E48" s="21">
        <v>0</v>
      </c>
      <c r="F48" s="22"/>
      <c r="G48" s="23"/>
      <c r="H48" s="24"/>
    </row>
    <row r="49" spans="1:8" ht="24" customHeight="1" x14ac:dyDescent="0.3">
      <c r="A49" s="18">
        <v>40</v>
      </c>
      <c r="B49" s="19" t="s">
        <v>1159</v>
      </c>
      <c r="C49" s="18">
        <v>5</v>
      </c>
      <c r="D49" s="20" t="s">
        <v>11</v>
      </c>
      <c r="E49" s="21">
        <v>0</v>
      </c>
      <c r="F49" s="22"/>
      <c r="G49" s="23"/>
      <c r="H49" s="24"/>
    </row>
    <row r="50" spans="1:8" ht="24" customHeight="1" x14ac:dyDescent="0.3">
      <c r="A50" s="18">
        <v>41</v>
      </c>
      <c r="B50" s="19" t="s">
        <v>1160</v>
      </c>
      <c r="C50" s="18">
        <v>7</v>
      </c>
      <c r="D50" s="20" t="s">
        <v>11</v>
      </c>
      <c r="E50" s="21">
        <v>0</v>
      </c>
      <c r="F50" s="22"/>
      <c r="G50" s="23"/>
      <c r="H50" s="24"/>
    </row>
    <row r="51" spans="1:8" ht="24" customHeight="1" x14ac:dyDescent="0.3">
      <c r="A51" s="18">
        <v>42</v>
      </c>
      <c r="B51" s="19" t="s">
        <v>1161</v>
      </c>
      <c r="C51" s="18">
        <v>7</v>
      </c>
      <c r="D51" s="20" t="s">
        <v>11</v>
      </c>
      <c r="E51" s="21">
        <v>0</v>
      </c>
      <c r="F51" s="22"/>
      <c r="G51" s="23"/>
      <c r="H51" s="24"/>
    </row>
    <row r="52" spans="1:8" ht="24" customHeight="1" x14ac:dyDescent="0.3">
      <c r="A52" s="18">
        <v>43</v>
      </c>
      <c r="B52" s="19" t="s">
        <v>1162</v>
      </c>
      <c r="C52" s="18">
        <v>5</v>
      </c>
      <c r="D52" s="20" t="s">
        <v>11</v>
      </c>
      <c r="E52" s="21">
        <v>0</v>
      </c>
      <c r="F52" s="22"/>
      <c r="G52" s="23"/>
      <c r="H52" s="24"/>
    </row>
    <row r="53" spans="1:8" ht="24" customHeight="1" x14ac:dyDescent="0.3">
      <c r="A53" s="18">
        <v>44</v>
      </c>
      <c r="B53" s="19" t="s">
        <v>1163</v>
      </c>
      <c r="C53" s="18">
        <v>5</v>
      </c>
      <c r="D53" s="20" t="s">
        <v>11</v>
      </c>
      <c r="E53" s="21">
        <v>0</v>
      </c>
      <c r="F53" s="22"/>
      <c r="G53" s="23"/>
      <c r="H53" s="24"/>
    </row>
    <row r="54" spans="1:8" ht="24" customHeight="1" x14ac:dyDescent="0.3">
      <c r="A54" s="18">
        <v>45</v>
      </c>
      <c r="B54" s="19" t="s">
        <v>1164</v>
      </c>
      <c r="C54" s="18">
        <v>3</v>
      </c>
      <c r="D54" s="20" t="s">
        <v>11</v>
      </c>
      <c r="E54" s="21">
        <v>0</v>
      </c>
      <c r="F54" s="22"/>
      <c r="G54" s="23"/>
      <c r="H54" s="24"/>
    </row>
    <row r="55" spans="1:8" ht="24" customHeight="1" x14ac:dyDescent="0.3">
      <c r="A55" s="18">
        <v>46</v>
      </c>
      <c r="B55" s="19" t="s">
        <v>1165</v>
      </c>
      <c r="C55" s="18">
        <v>14</v>
      </c>
      <c r="D55" s="20" t="s">
        <v>11</v>
      </c>
      <c r="E55" s="21">
        <v>0</v>
      </c>
      <c r="F55" s="22"/>
      <c r="G55" s="23"/>
      <c r="H55" s="24"/>
    </row>
    <row r="56" spans="1:8" ht="24" customHeight="1" x14ac:dyDescent="0.3">
      <c r="A56" s="18">
        <v>47</v>
      </c>
      <c r="B56" s="19" t="s">
        <v>1166</v>
      </c>
      <c r="C56" s="18">
        <v>8</v>
      </c>
      <c r="D56" s="20" t="s">
        <v>11</v>
      </c>
      <c r="E56" s="21">
        <v>0</v>
      </c>
      <c r="F56" s="22"/>
      <c r="G56" s="23"/>
      <c r="H56" s="24"/>
    </row>
    <row r="57" spans="1:8" ht="24" customHeight="1" x14ac:dyDescent="0.3">
      <c r="A57" s="18">
        <v>48</v>
      </c>
      <c r="B57" s="19" t="s">
        <v>1167</v>
      </c>
      <c r="C57" s="18">
        <v>14</v>
      </c>
      <c r="D57" s="20" t="s">
        <v>11</v>
      </c>
      <c r="E57" s="21">
        <v>0</v>
      </c>
      <c r="F57" s="22"/>
      <c r="G57" s="23"/>
      <c r="H57" s="24"/>
    </row>
    <row r="58" spans="1:8" ht="24" customHeight="1" x14ac:dyDescent="0.3">
      <c r="A58" s="18">
        <v>49</v>
      </c>
      <c r="B58" s="19" t="s">
        <v>1168</v>
      </c>
      <c r="C58" s="18">
        <v>24</v>
      </c>
      <c r="D58" s="20" t="s">
        <v>11</v>
      </c>
      <c r="E58" s="21">
        <v>0</v>
      </c>
      <c r="F58" s="22"/>
      <c r="G58" s="23"/>
      <c r="H58" s="24"/>
    </row>
    <row r="59" spans="1:8" ht="24" customHeight="1" x14ac:dyDescent="0.3">
      <c r="A59" s="18">
        <v>50</v>
      </c>
      <c r="B59" s="19" t="s">
        <v>1169</v>
      </c>
      <c r="C59" s="18">
        <v>6</v>
      </c>
      <c r="D59" s="20" t="s">
        <v>11</v>
      </c>
      <c r="E59" s="21">
        <v>0</v>
      </c>
      <c r="F59" s="22"/>
      <c r="G59" s="23"/>
      <c r="H59" s="24"/>
    </row>
    <row r="60" spans="1:8" ht="24" customHeight="1" x14ac:dyDescent="0.3">
      <c r="A60" s="18">
        <v>51</v>
      </c>
      <c r="B60" s="19" t="s">
        <v>1170</v>
      </c>
      <c r="C60" s="18">
        <v>12</v>
      </c>
      <c r="D60" s="20" t="s">
        <v>11</v>
      </c>
      <c r="E60" s="21">
        <v>0</v>
      </c>
      <c r="F60" s="22"/>
      <c r="G60" s="23"/>
      <c r="H60" s="24"/>
    </row>
    <row r="61" spans="1:8" ht="24" customHeight="1" x14ac:dyDescent="0.3">
      <c r="A61" s="18">
        <v>52</v>
      </c>
      <c r="B61" s="19" t="s">
        <v>1171</v>
      </c>
      <c r="C61" s="18">
        <v>12</v>
      </c>
      <c r="D61" s="20" t="s">
        <v>11</v>
      </c>
      <c r="E61" s="21">
        <v>0</v>
      </c>
      <c r="F61" s="22"/>
      <c r="G61" s="23"/>
      <c r="H61" s="24"/>
    </row>
    <row r="62" spans="1:8" ht="24" customHeight="1" x14ac:dyDescent="0.3">
      <c r="A62" s="18">
        <v>53</v>
      </c>
      <c r="B62" s="19" t="s">
        <v>1172</v>
      </c>
      <c r="C62" s="18">
        <v>10</v>
      </c>
      <c r="D62" s="20" t="s">
        <v>11</v>
      </c>
      <c r="E62" s="21">
        <v>0</v>
      </c>
      <c r="F62" s="22"/>
      <c r="G62" s="23"/>
      <c r="H62" s="24"/>
    </row>
    <row r="63" spans="1:8" ht="24" customHeight="1" x14ac:dyDescent="0.3">
      <c r="A63" s="18">
        <v>54</v>
      </c>
      <c r="B63" s="19" t="s">
        <v>1173</v>
      </c>
      <c r="C63" s="18">
        <v>2</v>
      </c>
      <c r="D63" s="20" t="s">
        <v>11</v>
      </c>
      <c r="E63" s="21">
        <v>0</v>
      </c>
      <c r="F63" s="22"/>
      <c r="G63" s="23"/>
      <c r="H63" s="24"/>
    </row>
    <row r="64" spans="1:8" ht="24" customHeight="1" x14ac:dyDescent="0.3">
      <c r="A64" s="18">
        <v>55</v>
      </c>
      <c r="B64" s="19" t="s">
        <v>1174</v>
      </c>
      <c r="C64" s="18">
        <v>6</v>
      </c>
      <c r="D64" s="20" t="s">
        <v>11</v>
      </c>
      <c r="E64" s="21">
        <v>0</v>
      </c>
      <c r="F64" s="22"/>
      <c r="G64" s="23"/>
      <c r="H64" s="24"/>
    </row>
    <row r="65" spans="1:8" ht="24" customHeight="1" x14ac:dyDescent="0.3">
      <c r="A65" s="18">
        <v>56</v>
      </c>
      <c r="B65" s="19" t="s">
        <v>1175</v>
      </c>
      <c r="C65" s="18">
        <v>7</v>
      </c>
      <c r="D65" s="20" t="s">
        <v>11</v>
      </c>
      <c r="E65" s="21">
        <v>0</v>
      </c>
      <c r="F65" s="22"/>
      <c r="G65" s="23"/>
      <c r="H65" s="24"/>
    </row>
    <row r="66" spans="1:8" ht="24" customHeight="1" x14ac:dyDescent="0.3">
      <c r="A66" s="18">
        <v>57</v>
      </c>
      <c r="B66" s="19" t="s">
        <v>1176</v>
      </c>
      <c r="C66" s="18">
        <v>15</v>
      </c>
      <c r="D66" s="20" t="s">
        <v>11</v>
      </c>
      <c r="E66" s="21">
        <v>0</v>
      </c>
      <c r="F66" s="22"/>
      <c r="G66" s="23"/>
      <c r="H66" s="24"/>
    </row>
    <row r="67" spans="1:8" ht="24" customHeight="1" x14ac:dyDescent="0.3">
      <c r="A67" s="18">
        <v>58</v>
      </c>
      <c r="B67" s="19" t="s">
        <v>1177</v>
      </c>
      <c r="C67" s="18">
        <v>2</v>
      </c>
      <c r="D67" s="20" t="s">
        <v>11</v>
      </c>
      <c r="E67" s="21">
        <v>0</v>
      </c>
      <c r="F67" s="22"/>
      <c r="G67" s="23"/>
      <c r="H67" s="24"/>
    </row>
    <row r="68" spans="1:8" ht="24" customHeight="1" x14ac:dyDescent="0.3">
      <c r="A68" s="18">
        <v>59</v>
      </c>
      <c r="B68" s="19" t="s">
        <v>1178</v>
      </c>
      <c r="C68" s="18">
        <v>20</v>
      </c>
      <c r="D68" s="20" t="s">
        <v>11</v>
      </c>
      <c r="E68" s="21">
        <v>0</v>
      </c>
      <c r="F68" s="22"/>
      <c r="G68" s="23"/>
      <c r="H68" s="24"/>
    </row>
    <row r="69" spans="1:8" ht="24" customHeight="1" x14ac:dyDescent="0.3">
      <c r="A69" s="18">
        <v>60</v>
      </c>
      <c r="B69" s="19" t="s">
        <v>1179</v>
      </c>
      <c r="C69" s="18">
        <v>14</v>
      </c>
      <c r="D69" s="20" t="s">
        <v>11</v>
      </c>
      <c r="E69" s="21">
        <v>0</v>
      </c>
      <c r="F69" s="22"/>
      <c r="G69" s="23"/>
      <c r="H69" s="24"/>
    </row>
    <row r="70" spans="1:8" ht="24" customHeight="1" x14ac:dyDescent="0.3">
      <c r="A70" s="18">
        <v>61</v>
      </c>
      <c r="B70" s="19" t="s">
        <v>1180</v>
      </c>
      <c r="C70" s="18">
        <v>26</v>
      </c>
      <c r="D70" s="20" t="s">
        <v>11</v>
      </c>
      <c r="E70" s="21">
        <v>0</v>
      </c>
      <c r="F70" s="22"/>
      <c r="G70" s="23"/>
      <c r="H70" s="24"/>
    </row>
    <row r="71" spans="1:8" ht="24" customHeight="1" x14ac:dyDescent="0.3">
      <c r="A71" s="18">
        <v>62</v>
      </c>
      <c r="B71" s="19" t="s">
        <v>1181</v>
      </c>
      <c r="C71" s="18">
        <v>16</v>
      </c>
      <c r="D71" s="20" t="s">
        <v>11</v>
      </c>
      <c r="E71" s="21">
        <v>0</v>
      </c>
      <c r="F71" s="22"/>
      <c r="G71" s="23"/>
      <c r="H71" s="24"/>
    </row>
    <row r="72" spans="1:8" ht="24" customHeight="1" x14ac:dyDescent="0.3">
      <c r="A72" s="18">
        <v>63</v>
      </c>
      <c r="B72" s="19" t="s">
        <v>1182</v>
      </c>
      <c r="C72" s="18">
        <v>8</v>
      </c>
      <c r="D72" s="20" t="s">
        <v>11</v>
      </c>
      <c r="E72" s="21">
        <v>0</v>
      </c>
      <c r="F72" s="22"/>
      <c r="G72" s="23"/>
      <c r="H72" s="24"/>
    </row>
    <row r="73" spans="1:8" ht="24" customHeight="1" x14ac:dyDescent="0.3">
      <c r="A73" s="18">
        <v>64</v>
      </c>
      <c r="B73" s="19" t="s">
        <v>1183</v>
      </c>
      <c r="C73" s="18">
        <v>9</v>
      </c>
      <c r="D73" s="20" t="s">
        <v>11</v>
      </c>
      <c r="E73" s="21">
        <v>0</v>
      </c>
      <c r="F73" s="22"/>
      <c r="G73" s="23"/>
      <c r="H73" s="24"/>
    </row>
    <row r="74" spans="1:8" ht="24" customHeight="1" x14ac:dyDescent="0.3">
      <c r="A74" s="18">
        <v>65</v>
      </c>
      <c r="B74" s="19" t="s">
        <v>1184</v>
      </c>
      <c r="C74" s="18">
        <v>2</v>
      </c>
      <c r="D74" s="20" t="s">
        <v>11</v>
      </c>
      <c r="E74" s="21">
        <v>0</v>
      </c>
      <c r="F74" s="22"/>
      <c r="G74" s="23"/>
      <c r="H74" s="24"/>
    </row>
    <row r="75" spans="1:8" ht="24" customHeight="1" x14ac:dyDescent="0.3">
      <c r="A75" s="18">
        <v>66</v>
      </c>
      <c r="B75" s="19" t="s">
        <v>1185</v>
      </c>
      <c r="C75" s="18">
        <v>8</v>
      </c>
      <c r="D75" s="20" t="s">
        <v>11</v>
      </c>
      <c r="E75" s="21">
        <v>0</v>
      </c>
      <c r="F75" s="22"/>
      <c r="G75" s="23"/>
      <c r="H75" s="24"/>
    </row>
    <row r="76" spans="1:8" ht="24" customHeight="1" x14ac:dyDescent="0.3">
      <c r="A76" s="18">
        <v>67</v>
      </c>
      <c r="B76" s="19" t="s">
        <v>1186</v>
      </c>
      <c r="C76" s="18">
        <v>22</v>
      </c>
      <c r="D76" s="20" t="s">
        <v>11</v>
      </c>
      <c r="E76" s="21">
        <v>0</v>
      </c>
      <c r="F76" s="22"/>
      <c r="G76" s="23"/>
      <c r="H76" s="24"/>
    </row>
    <row r="77" spans="1:8" ht="24" customHeight="1" x14ac:dyDescent="0.3">
      <c r="A77" s="18">
        <v>68</v>
      </c>
      <c r="B77" s="19" t="s">
        <v>1187</v>
      </c>
      <c r="C77" s="18">
        <v>14</v>
      </c>
      <c r="D77" s="20" t="s">
        <v>11</v>
      </c>
      <c r="E77" s="21">
        <v>0</v>
      </c>
      <c r="F77" s="22"/>
      <c r="G77" s="23"/>
      <c r="H77" s="24"/>
    </row>
    <row r="78" spans="1:8" ht="24" customHeight="1" x14ac:dyDescent="0.3">
      <c r="A78" s="18">
        <v>69</v>
      </c>
      <c r="B78" s="19" t="s">
        <v>1188</v>
      </c>
      <c r="C78" s="18">
        <v>14</v>
      </c>
      <c r="D78" s="20" t="s">
        <v>11</v>
      </c>
      <c r="E78" s="21">
        <v>0</v>
      </c>
      <c r="F78" s="22"/>
      <c r="G78" s="23"/>
      <c r="H78" s="24"/>
    </row>
    <row r="79" spans="1:8" ht="24" customHeight="1" x14ac:dyDescent="0.3">
      <c r="A79" s="18">
        <v>70</v>
      </c>
      <c r="B79" s="19" t="s">
        <v>1189</v>
      </c>
      <c r="C79" s="18">
        <v>11</v>
      </c>
      <c r="D79" s="20" t="s">
        <v>11</v>
      </c>
      <c r="E79" s="21">
        <v>0</v>
      </c>
      <c r="F79" s="22"/>
      <c r="G79" s="23"/>
      <c r="H79" s="24"/>
    </row>
    <row r="80" spans="1:8" ht="24" customHeight="1" x14ac:dyDescent="0.3">
      <c r="A80" s="18">
        <v>71</v>
      </c>
      <c r="B80" s="19" t="s">
        <v>1190</v>
      </c>
      <c r="C80" s="18">
        <v>13</v>
      </c>
      <c r="D80" s="20" t="s">
        <v>11</v>
      </c>
      <c r="E80" s="21">
        <v>0</v>
      </c>
      <c r="F80" s="22"/>
      <c r="G80" s="23"/>
      <c r="H80" s="24"/>
    </row>
    <row r="81" spans="1:8" ht="24" customHeight="1" x14ac:dyDescent="0.3">
      <c r="A81" s="18">
        <v>72</v>
      </c>
      <c r="B81" s="19" t="s">
        <v>1191</v>
      </c>
      <c r="C81" s="18">
        <v>2</v>
      </c>
      <c r="D81" s="20" t="s">
        <v>11</v>
      </c>
      <c r="E81" s="21">
        <v>0</v>
      </c>
      <c r="F81" s="22"/>
      <c r="G81" s="23"/>
      <c r="H81" s="24"/>
    </row>
    <row r="82" spans="1:8" ht="24" customHeight="1" x14ac:dyDescent="0.3">
      <c r="A82" s="18">
        <v>73</v>
      </c>
      <c r="B82" s="19" t="s">
        <v>1192</v>
      </c>
      <c r="C82" s="18">
        <v>7</v>
      </c>
      <c r="D82" s="20" t="s">
        <v>11</v>
      </c>
      <c r="E82" s="21">
        <v>0</v>
      </c>
      <c r="F82" s="22"/>
      <c r="G82" s="23"/>
      <c r="H82" s="24"/>
    </row>
    <row r="83" spans="1:8" ht="24" customHeight="1" x14ac:dyDescent="0.3">
      <c r="A83" s="18">
        <v>74</v>
      </c>
      <c r="B83" s="19" t="s">
        <v>1193</v>
      </c>
      <c r="C83" s="18">
        <v>7</v>
      </c>
      <c r="D83" s="20" t="s">
        <v>11</v>
      </c>
      <c r="E83" s="21">
        <v>0</v>
      </c>
      <c r="F83" s="22"/>
      <c r="G83" s="23"/>
      <c r="H83" s="24"/>
    </row>
    <row r="84" spans="1:8" ht="24" customHeight="1" x14ac:dyDescent="0.3">
      <c r="A84" s="18">
        <v>75</v>
      </c>
      <c r="B84" s="19" t="s">
        <v>1194</v>
      </c>
      <c r="C84" s="18">
        <v>7</v>
      </c>
      <c r="D84" s="20" t="s">
        <v>11</v>
      </c>
      <c r="E84" s="21">
        <v>0</v>
      </c>
      <c r="F84" s="22"/>
      <c r="G84" s="23"/>
      <c r="H84" s="24"/>
    </row>
    <row r="85" spans="1:8" ht="24" customHeight="1" x14ac:dyDescent="0.3">
      <c r="A85" s="18">
        <v>76</v>
      </c>
      <c r="B85" s="19" t="s">
        <v>1195</v>
      </c>
      <c r="C85" s="18">
        <v>5</v>
      </c>
      <c r="D85" s="20" t="s">
        <v>11</v>
      </c>
      <c r="E85" s="21">
        <v>0</v>
      </c>
      <c r="F85" s="22"/>
      <c r="G85" s="23"/>
      <c r="H85" s="24"/>
    </row>
    <row r="86" spans="1:8" ht="24" customHeight="1" x14ac:dyDescent="0.3">
      <c r="A86" s="18">
        <v>77</v>
      </c>
      <c r="B86" s="19" t="s">
        <v>1196</v>
      </c>
      <c r="C86" s="18">
        <v>5</v>
      </c>
      <c r="D86" s="20" t="s">
        <v>11</v>
      </c>
      <c r="E86" s="21">
        <v>0</v>
      </c>
      <c r="F86" s="22"/>
      <c r="G86" s="23"/>
      <c r="H86" s="24"/>
    </row>
    <row r="87" spans="1:8" ht="24" customHeight="1" x14ac:dyDescent="0.3">
      <c r="A87" s="18">
        <v>78</v>
      </c>
      <c r="B87" s="19" t="s">
        <v>1197</v>
      </c>
      <c r="C87" s="18">
        <v>7</v>
      </c>
      <c r="D87" s="20" t="s">
        <v>11</v>
      </c>
      <c r="E87" s="21">
        <v>0</v>
      </c>
      <c r="F87" s="22"/>
      <c r="G87" s="23"/>
      <c r="H87" s="24"/>
    </row>
    <row r="88" spans="1:8" ht="24" customHeight="1" x14ac:dyDescent="0.3">
      <c r="A88" s="18">
        <v>79</v>
      </c>
      <c r="B88" s="19" t="s">
        <v>1198</v>
      </c>
      <c r="C88" s="18">
        <v>5</v>
      </c>
      <c r="D88" s="20" t="s">
        <v>11</v>
      </c>
      <c r="E88" s="21">
        <v>0</v>
      </c>
      <c r="F88" s="22"/>
      <c r="G88" s="23"/>
      <c r="H88" s="24"/>
    </row>
    <row r="89" spans="1:8" ht="24" customHeight="1" x14ac:dyDescent="0.3">
      <c r="A89" s="18">
        <v>80</v>
      </c>
      <c r="B89" s="19" t="s">
        <v>1199</v>
      </c>
      <c r="C89" s="18">
        <v>5</v>
      </c>
      <c r="D89" s="20" t="s">
        <v>11</v>
      </c>
      <c r="E89" s="21">
        <v>0</v>
      </c>
      <c r="F89" s="22"/>
      <c r="G89" s="23"/>
      <c r="H89" s="24"/>
    </row>
    <row r="90" spans="1:8" ht="24" customHeight="1" x14ac:dyDescent="0.3">
      <c r="A90" s="18">
        <v>81</v>
      </c>
      <c r="B90" s="19" t="s">
        <v>1200</v>
      </c>
      <c r="C90" s="18">
        <v>5</v>
      </c>
      <c r="D90" s="20" t="s">
        <v>11</v>
      </c>
      <c r="E90" s="21">
        <v>0</v>
      </c>
      <c r="F90" s="22"/>
      <c r="G90" s="23"/>
      <c r="H90" s="24"/>
    </row>
    <row r="91" spans="1:8" ht="24" customHeight="1" x14ac:dyDescent="0.3">
      <c r="A91" s="25">
        <v>82</v>
      </c>
      <c r="B91" s="26" t="s">
        <v>1201</v>
      </c>
      <c r="C91" s="25">
        <v>8</v>
      </c>
      <c r="D91" s="27" t="s">
        <v>11</v>
      </c>
      <c r="E91" s="28">
        <v>0</v>
      </c>
      <c r="F91" s="29"/>
      <c r="G91" s="30"/>
      <c r="H91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91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91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91" xr:uid="{46761055-C74E-4455-9E20-EF978C6ABD11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91" xr:uid="{86CD2BD9-BD0A-4115-86CF-78A564B9540F}">
      <formula1>0</formula1>
      <formula2>1</formula2>
    </dataValidation>
    <dataValidation type="decimal" allowBlank="1" showInputMessage="1" showErrorMessage="1" errorTitle="Giá trị không hợp lệ" error="Nhập điểm từ 0 đến 10." sqref="F10:F91" xr:uid="{22AADA09-FD51-49EA-8BA4-904098A82448}">
      <formula1>0</formula1>
      <formula2>10</formula2>
    </dataValidation>
  </dataValidations>
  <hyperlinks>
    <hyperlink ref="B3" r:id="rId1" display="06 - Ngôn ngữ/06 - Tiếng Hàn/complete-korean-course-for-beginners" xr:uid="{8A2DB938-630E-4BE5-B64E-173719EB9197}"/>
  </hyperlinks>
  <pageMargins left="0.7" right="0.7" top="0.75" bottom="0.75" header="0.3" footer="0.3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E3D13-6734-4086-ADEC-E4B4394AC93A}">
  <sheetPr>
    <tabColor rgb="FF0D9488"/>
  </sheetPr>
  <dimension ref="A1:H330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791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792</v>
      </c>
      <c r="C2" s="16" t="s">
        <v>25</v>
      </c>
      <c r="D2" s="15" t="s">
        <v>670</v>
      </c>
      <c r="E2" s="16" t="s">
        <v>26</v>
      </c>
      <c r="F2" s="15" t="s">
        <v>793</v>
      </c>
      <c r="G2" s="15"/>
      <c r="H2" s="15"/>
    </row>
    <row r="3" spans="1:8" ht="30" customHeight="1" x14ac:dyDescent="0.3">
      <c r="A3" s="16" t="s">
        <v>27</v>
      </c>
      <c r="B3" s="56" t="s">
        <v>794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COUNTA(B10:B330)</f>
        <v>321</v>
      </c>
      <c r="B6" s="59"/>
      <c r="C6" s="60">
        <f t="shared" ref="C6" si="1">COUNTIF(D10:D330,"Đã hoàn thành")</f>
        <v>0</v>
      </c>
      <c r="D6" s="60"/>
      <c r="E6" s="61">
        <f t="shared" ref="E6" si="2">IFERROR(AVERAGE(E10:E330),0)</f>
        <v>0</v>
      </c>
      <c r="F6" s="61"/>
      <c r="G6" s="62" t="str">
        <f t="shared" ref="G6" si="3">IFERROR(AVERAGE(F10:F330),"")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795</v>
      </c>
      <c r="C10" s="18">
        <v>0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796</v>
      </c>
      <c r="C11" s="18">
        <v>0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797</v>
      </c>
      <c r="C12" s="18">
        <v>0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798</v>
      </c>
      <c r="C13" s="18">
        <v>0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799</v>
      </c>
      <c r="C14" s="18">
        <v>0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18">
        <v>6</v>
      </c>
      <c r="B15" s="19" t="s">
        <v>800</v>
      </c>
      <c r="C15" s="18">
        <v>0</v>
      </c>
      <c r="D15" s="20" t="s">
        <v>11</v>
      </c>
      <c r="E15" s="21">
        <v>0</v>
      </c>
      <c r="F15" s="22"/>
      <c r="G15" s="23"/>
      <c r="H15" s="24"/>
    </row>
    <row r="16" spans="1:8" ht="24" customHeight="1" x14ac:dyDescent="0.3">
      <c r="A16" s="18">
        <v>7</v>
      </c>
      <c r="B16" s="19" t="s">
        <v>801</v>
      </c>
      <c r="C16" s="18">
        <v>0</v>
      </c>
      <c r="D16" s="20" t="s">
        <v>11</v>
      </c>
      <c r="E16" s="21">
        <v>0</v>
      </c>
      <c r="F16" s="22"/>
      <c r="G16" s="23"/>
      <c r="H16" s="24"/>
    </row>
    <row r="17" spans="1:8" ht="24" customHeight="1" x14ac:dyDescent="0.3">
      <c r="A17" s="18">
        <v>8</v>
      </c>
      <c r="B17" s="19" t="s">
        <v>802</v>
      </c>
      <c r="C17" s="18">
        <v>0</v>
      </c>
      <c r="D17" s="20" t="s">
        <v>11</v>
      </c>
      <c r="E17" s="21">
        <v>0</v>
      </c>
      <c r="F17" s="22"/>
      <c r="G17" s="23"/>
      <c r="H17" s="24"/>
    </row>
    <row r="18" spans="1:8" ht="24" customHeight="1" x14ac:dyDescent="0.3">
      <c r="A18" s="18">
        <v>9</v>
      </c>
      <c r="B18" s="19" t="s">
        <v>803</v>
      </c>
      <c r="C18" s="18">
        <v>0</v>
      </c>
      <c r="D18" s="20" t="s">
        <v>11</v>
      </c>
      <c r="E18" s="21">
        <v>0</v>
      </c>
      <c r="F18" s="22"/>
      <c r="G18" s="23"/>
      <c r="H18" s="24"/>
    </row>
    <row r="19" spans="1:8" ht="24" customHeight="1" x14ac:dyDescent="0.3">
      <c r="A19" s="18">
        <v>10</v>
      </c>
      <c r="B19" s="19" t="s">
        <v>804</v>
      </c>
      <c r="C19" s="18">
        <v>0</v>
      </c>
      <c r="D19" s="20" t="s">
        <v>11</v>
      </c>
      <c r="E19" s="21">
        <v>0</v>
      </c>
      <c r="F19" s="22"/>
      <c r="G19" s="23"/>
      <c r="H19" s="24"/>
    </row>
    <row r="20" spans="1:8" ht="24" customHeight="1" x14ac:dyDescent="0.3">
      <c r="A20" s="18">
        <v>11</v>
      </c>
      <c r="B20" s="19" t="s">
        <v>805</v>
      </c>
      <c r="C20" s="18">
        <v>0</v>
      </c>
      <c r="D20" s="20" t="s">
        <v>11</v>
      </c>
      <c r="E20" s="21">
        <v>0</v>
      </c>
      <c r="F20" s="22"/>
      <c r="G20" s="23"/>
      <c r="H20" s="24"/>
    </row>
    <row r="21" spans="1:8" ht="24" customHeight="1" x14ac:dyDescent="0.3">
      <c r="A21" s="18">
        <v>12</v>
      </c>
      <c r="B21" s="19" t="s">
        <v>806</v>
      </c>
      <c r="C21" s="18">
        <v>0</v>
      </c>
      <c r="D21" s="20" t="s">
        <v>11</v>
      </c>
      <c r="E21" s="21">
        <v>0</v>
      </c>
      <c r="F21" s="22"/>
      <c r="G21" s="23"/>
      <c r="H21" s="24"/>
    </row>
    <row r="22" spans="1:8" ht="24" customHeight="1" x14ac:dyDescent="0.3">
      <c r="A22" s="18">
        <v>13</v>
      </c>
      <c r="B22" s="19" t="s">
        <v>807</v>
      </c>
      <c r="C22" s="18">
        <v>0</v>
      </c>
      <c r="D22" s="20" t="s">
        <v>11</v>
      </c>
      <c r="E22" s="21">
        <v>0</v>
      </c>
      <c r="F22" s="22"/>
      <c r="G22" s="23"/>
      <c r="H22" s="24"/>
    </row>
    <row r="23" spans="1:8" ht="24" customHeight="1" x14ac:dyDescent="0.3">
      <c r="A23" s="18">
        <v>14</v>
      </c>
      <c r="B23" s="19" t="s">
        <v>808</v>
      </c>
      <c r="C23" s="18">
        <v>0</v>
      </c>
      <c r="D23" s="20" t="s">
        <v>11</v>
      </c>
      <c r="E23" s="21">
        <v>0</v>
      </c>
      <c r="F23" s="22"/>
      <c r="G23" s="23"/>
      <c r="H23" s="24"/>
    </row>
    <row r="24" spans="1:8" ht="24" customHeight="1" x14ac:dyDescent="0.3">
      <c r="A24" s="18">
        <v>15</v>
      </c>
      <c r="B24" s="19" t="s">
        <v>809</v>
      </c>
      <c r="C24" s="18">
        <v>0</v>
      </c>
      <c r="D24" s="20" t="s">
        <v>11</v>
      </c>
      <c r="E24" s="21">
        <v>0</v>
      </c>
      <c r="F24" s="22"/>
      <c r="G24" s="23"/>
      <c r="H24" s="24"/>
    </row>
    <row r="25" spans="1:8" ht="24" customHeight="1" x14ac:dyDescent="0.3">
      <c r="A25" s="18">
        <v>16</v>
      </c>
      <c r="B25" s="19" t="s">
        <v>810</v>
      </c>
      <c r="C25" s="18">
        <v>0</v>
      </c>
      <c r="D25" s="20" t="s">
        <v>11</v>
      </c>
      <c r="E25" s="21">
        <v>0</v>
      </c>
      <c r="F25" s="22"/>
      <c r="G25" s="23"/>
      <c r="H25" s="24"/>
    </row>
    <row r="26" spans="1:8" ht="24" customHeight="1" x14ac:dyDescent="0.3">
      <c r="A26" s="18">
        <v>17</v>
      </c>
      <c r="B26" s="19" t="s">
        <v>811</v>
      </c>
      <c r="C26" s="18">
        <v>0</v>
      </c>
      <c r="D26" s="20" t="s">
        <v>11</v>
      </c>
      <c r="E26" s="21">
        <v>0</v>
      </c>
      <c r="F26" s="22"/>
      <c r="G26" s="23"/>
      <c r="H26" s="24"/>
    </row>
    <row r="27" spans="1:8" ht="24" customHeight="1" x14ac:dyDescent="0.3">
      <c r="A27" s="18">
        <v>18</v>
      </c>
      <c r="B27" s="19" t="s">
        <v>812</v>
      </c>
      <c r="C27" s="18">
        <v>0</v>
      </c>
      <c r="D27" s="20" t="s">
        <v>11</v>
      </c>
      <c r="E27" s="21">
        <v>0</v>
      </c>
      <c r="F27" s="22"/>
      <c r="G27" s="23"/>
      <c r="H27" s="24"/>
    </row>
    <row r="28" spans="1:8" ht="24" customHeight="1" x14ac:dyDescent="0.3">
      <c r="A28" s="18">
        <v>19</v>
      </c>
      <c r="B28" s="19" t="s">
        <v>813</v>
      </c>
      <c r="C28" s="18">
        <v>0</v>
      </c>
      <c r="D28" s="20" t="s">
        <v>11</v>
      </c>
      <c r="E28" s="21">
        <v>0</v>
      </c>
      <c r="F28" s="22"/>
      <c r="G28" s="23"/>
      <c r="H28" s="24"/>
    </row>
    <row r="29" spans="1:8" ht="24" customHeight="1" x14ac:dyDescent="0.3">
      <c r="A29" s="18">
        <v>20</v>
      </c>
      <c r="B29" s="19" t="s">
        <v>814</v>
      </c>
      <c r="C29" s="18">
        <v>0</v>
      </c>
      <c r="D29" s="20" t="s">
        <v>11</v>
      </c>
      <c r="E29" s="21">
        <v>0</v>
      </c>
      <c r="F29" s="22"/>
      <c r="G29" s="23"/>
      <c r="H29" s="24"/>
    </row>
    <row r="30" spans="1:8" ht="24" customHeight="1" x14ac:dyDescent="0.3">
      <c r="A30" s="18">
        <v>21</v>
      </c>
      <c r="B30" s="19" t="s">
        <v>815</v>
      </c>
      <c r="C30" s="18">
        <v>0</v>
      </c>
      <c r="D30" s="20" t="s">
        <v>11</v>
      </c>
      <c r="E30" s="21">
        <v>0</v>
      </c>
      <c r="F30" s="22"/>
      <c r="G30" s="23"/>
      <c r="H30" s="24"/>
    </row>
    <row r="31" spans="1:8" ht="24" customHeight="1" x14ac:dyDescent="0.3">
      <c r="A31" s="18">
        <v>22</v>
      </c>
      <c r="B31" s="19" t="s">
        <v>816</v>
      </c>
      <c r="C31" s="18">
        <v>0</v>
      </c>
      <c r="D31" s="20" t="s">
        <v>11</v>
      </c>
      <c r="E31" s="21">
        <v>0</v>
      </c>
      <c r="F31" s="22"/>
      <c r="G31" s="23"/>
      <c r="H31" s="24"/>
    </row>
    <row r="32" spans="1:8" ht="24" customHeight="1" x14ac:dyDescent="0.3">
      <c r="A32" s="18">
        <v>23</v>
      </c>
      <c r="B32" s="19" t="s">
        <v>817</v>
      </c>
      <c r="C32" s="18">
        <v>0</v>
      </c>
      <c r="D32" s="20" t="s">
        <v>11</v>
      </c>
      <c r="E32" s="21">
        <v>0</v>
      </c>
      <c r="F32" s="22"/>
      <c r="G32" s="23"/>
      <c r="H32" s="24"/>
    </row>
    <row r="33" spans="1:8" ht="24" customHeight="1" x14ac:dyDescent="0.3">
      <c r="A33" s="18">
        <v>24</v>
      </c>
      <c r="B33" s="19" t="s">
        <v>818</v>
      </c>
      <c r="C33" s="18">
        <v>0</v>
      </c>
      <c r="D33" s="20" t="s">
        <v>11</v>
      </c>
      <c r="E33" s="21">
        <v>0</v>
      </c>
      <c r="F33" s="22"/>
      <c r="G33" s="23"/>
      <c r="H33" s="24"/>
    </row>
    <row r="34" spans="1:8" ht="24" customHeight="1" x14ac:dyDescent="0.3">
      <c r="A34" s="18">
        <v>25</v>
      </c>
      <c r="B34" s="19" t="s">
        <v>819</v>
      </c>
      <c r="C34" s="18">
        <v>0</v>
      </c>
      <c r="D34" s="20" t="s">
        <v>11</v>
      </c>
      <c r="E34" s="21">
        <v>0</v>
      </c>
      <c r="F34" s="22"/>
      <c r="G34" s="23"/>
      <c r="H34" s="24"/>
    </row>
    <row r="35" spans="1:8" ht="24" customHeight="1" x14ac:dyDescent="0.3">
      <c r="A35" s="18">
        <v>26</v>
      </c>
      <c r="B35" s="19" t="s">
        <v>820</v>
      </c>
      <c r="C35" s="18">
        <v>0</v>
      </c>
      <c r="D35" s="20" t="s">
        <v>11</v>
      </c>
      <c r="E35" s="21">
        <v>0</v>
      </c>
      <c r="F35" s="22"/>
      <c r="G35" s="23"/>
      <c r="H35" s="24"/>
    </row>
    <row r="36" spans="1:8" ht="24" customHeight="1" x14ac:dyDescent="0.3">
      <c r="A36" s="18">
        <v>27</v>
      </c>
      <c r="B36" s="19" t="s">
        <v>821</v>
      </c>
      <c r="C36" s="18">
        <v>0</v>
      </c>
      <c r="D36" s="20" t="s">
        <v>11</v>
      </c>
      <c r="E36" s="21">
        <v>0</v>
      </c>
      <c r="F36" s="22"/>
      <c r="G36" s="23"/>
      <c r="H36" s="24"/>
    </row>
    <row r="37" spans="1:8" ht="24" customHeight="1" x14ac:dyDescent="0.3">
      <c r="A37" s="18">
        <v>28</v>
      </c>
      <c r="B37" s="19" t="s">
        <v>822</v>
      </c>
      <c r="C37" s="18">
        <v>0</v>
      </c>
      <c r="D37" s="20" t="s">
        <v>11</v>
      </c>
      <c r="E37" s="21">
        <v>0</v>
      </c>
      <c r="F37" s="22"/>
      <c r="G37" s="23"/>
      <c r="H37" s="24"/>
    </row>
    <row r="38" spans="1:8" ht="24" customHeight="1" x14ac:dyDescent="0.3">
      <c r="A38" s="18">
        <v>29</v>
      </c>
      <c r="B38" s="19" t="s">
        <v>823</v>
      </c>
      <c r="C38" s="18">
        <v>0</v>
      </c>
      <c r="D38" s="20" t="s">
        <v>11</v>
      </c>
      <c r="E38" s="21">
        <v>0</v>
      </c>
      <c r="F38" s="22"/>
      <c r="G38" s="23"/>
      <c r="H38" s="24"/>
    </row>
    <row r="39" spans="1:8" ht="24" customHeight="1" x14ac:dyDescent="0.3">
      <c r="A39" s="18">
        <v>30</v>
      </c>
      <c r="B39" s="19" t="s">
        <v>824</v>
      </c>
      <c r="C39" s="18">
        <v>0</v>
      </c>
      <c r="D39" s="20" t="s">
        <v>11</v>
      </c>
      <c r="E39" s="21">
        <v>0</v>
      </c>
      <c r="F39" s="22"/>
      <c r="G39" s="23"/>
      <c r="H39" s="24"/>
    </row>
    <row r="40" spans="1:8" ht="24" customHeight="1" x14ac:dyDescent="0.3">
      <c r="A40" s="18">
        <v>31</v>
      </c>
      <c r="B40" s="19" t="s">
        <v>825</v>
      </c>
      <c r="C40" s="18">
        <v>0</v>
      </c>
      <c r="D40" s="20" t="s">
        <v>11</v>
      </c>
      <c r="E40" s="21">
        <v>0</v>
      </c>
      <c r="F40" s="22"/>
      <c r="G40" s="23"/>
      <c r="H40" s="24"/>
    </row>
    <row r="41" spans="1:8" ht="24" customHeight="1" x14ac:dyDescent="0.3">
      <c r="A41" s="18">
        <v>32</v>
      </c>
      <c r="B41" s="19" t="s">
        <v>826</v>
      </c>
      <c r="C41" s="18">
        <v>0</v>
      </c>
      <c r="D41" s="20" t="s">
        <v>11</v>
      </c>
      <c r="E41" s="21">
        <v>0</v>
      </c>
      <c r="F41" s="22"/>
      <c r="G41" s="23"/>
      <c r="H41" s="24"/>
    </row>
    <row r="42" spans="1:8" ht="24" customHeight="1" x14ac:dyDescent="0.3">
      <c r="A42" s="18">
        <v>33</v>
      </c>
      <c r="B42" s="19" t="s">
        <v>827</v>
      </c>
      <c r="C42" s="18">
        <v>0</v>
      </c>
      <c r="D42" s="20" t="s">
        <v>11</v>
      </c>
      <c r="E42" s="21">
        <v>0</v>
      </c>
      <c r="F42" s="22"/>
      <c r="G42" s="23"/>
      <c r="H42" s="24"/>
    </row>
    <row r="43" spans="1:8" ht="24" customHeight="1" x14ac:dyDescent="0.3">
      <c r="A43" s="18">
        <v>34</v>
      </c>
      <c r="B43" s="19" t="s">
        <v>828</v>
      </c>
      <c r="C43" s="18">
        <v>0</v>
      </c>
      <c r="D43" s="20" t="s">
        <v>11</v>
      </c>
      <c r="E43" s="21">
        <v>0</v>
      </c>
      <c r="F43" s="22"/>
      <c r="G43" s="23"/>
      <c r="H43" s="24"/>
    </row>
    <row r="44" spans="1:8" ht="24" customHeight="1" x14ac:dyDescent="0.3">
      <c r="A44" s="18">
        <v>35</v>
      </c>
      <c r="B44" s="19" t="s">
        <v>829</v>
      </c>
      <c r="C44" s="18">
        <v>0</v>
      </c>
      <c r="D44" s="20" t="s">
        <v>11</v>
      </c>
      <c r="E44" s="21">
        <v>0</v>
      </c>
      <c r="F44" s="22"/>
      <c r="G44" s="23"/>
      <c r="H44" s="24"/>
    </row>
    <row r="45" spans="1:8" ht="24" customHeight="1" x14ac:dyDescent="0.3">
      <c r="A45" s="18">
        <v>36</v>
      </c>
      <c r="B45" s="19" t="s">
        <v>830</v>
      </c>
      <c r="C45" s="18">
        <v>0</v>
      </c>
      <c r="D45" s="20" t="s">
        <v>11</v>
      </c>
      <c r="E45" s="21">
        <v>0</v>
      </c>
      <c r="F45" s="22"/>
      <c r="G45" s="23"/>
      <c r="H45" s="24"/>
    </row>
    <row r="46" spans="1:8" ht="24" customHeight="1" x14ac:dyDescent="0.3">
      <c r="A46" s="18">
        <v>37</v>
      </c>
      <c r="B46" s="19" t="s">
        <v>831</v>
      </c>
      <c r="C46" s="18">
        <v>0</v>
      </c>
      <c r="D46" s="20" t="s">
        <v>11</v>
      </c>
      <c r="E46" s="21">
        <v>0</v>
      </c>
      <c r="F46" s="22"/>
      <c r="G46" s="23"/>
      <c r="H46" s="24"/>
    </row>
    <row r="47" spans="1:8" ht="24" customHeight="1" x14ac:dyDescent="0.3">
      <c r="A47" s="18">
        <v>38</v>
      </c>
      <c r="B47" s="19" t="s">
        <v>832</v>
      </c>
      <c r="C47" s="18">
        <v>0</v>
      </c>
      <c r="D47" s="20" t="s">
        <v>11</v>
      </c>
      <c r="E47" s="21">
        <v>0</v>
      </c>
      <c r="F47" s="22"/>
      <c r="G47" s="23"/>
      <c r="H47" s="24"/>
    </row>
    <row r="48" spans="1:8" ht="24" customHeight="1" x14ac:dyDescent="0.3">
      <c r="A48" s="18">
        <v>39</v>
      </c>
      <c r="B48" s="19" t="s">
        <v>833</v>
      </c>
      <c r="C48" s="18">
        <v>0</v>
      </c>
      <c r="D48" s="20" t="s">
        <v>11</v>
      </c>
      <c r="E48" s="21">
        <v>0</v>
      </c>
      <c r="F48" s="22"/>
      <c r="G48" s="23"/>
      <c r="H48" s="24"/>
    </row>
    <row r="49" spans="1:8" ht="24" customHeight="1" x14ac:dyDescent="0.3">
      <c r="A49" s="18">
        <v>40</v>
      </c>
      <c r="B49" s="19" t="s">
        <v>834</v>
      </c>
      <c r="C49" s="18">
        <v>0</v>
      </c>
      <c r="D49" s="20" t="s">
        <v>11</v>
      </c>
      <c r="E49" s="21">
        <v>0</v>
      </c>
      <c r="F49" s="22"/>
      <c r="G49" s="23"/>
      <c r="H49" s="24"/>
    </row>
    <row r="50" spans="1:8" ht="24" customHeight="1" x14ac:dyDescent="0.3">
      <c r="A50" s="18">
        <v>41</v>
      </c>
      <c r="B50" s="19" t="s">
        <v>835</v>
      </c>
      <c r="C50" s="18">
        <v>0</v>
      </c>
      <c r="D50" s="20" t="s">
        <v>11</v>
      </c>
      <c r="E50" s="21">
        <v>0</v>
      </c>
      <c r="F50" s="22"/>
      <c r="G50" s="23"/>
      <c r="H50" s="24"/>
    </row>
    <row r="51" spans="1:8" ht="24" customHeight="1" x14ac:dyDescent="0.3">
      <c r="A51" s="18">
        <v>42</v>
      </c>
      <c r="B51" s="19" t="s">
        <v>836</v>
      </c>
      <c r="C51" s="18">
        <v>0</v>
      </c>
      <c r="D51" s="20" t="s">
        <v>11</v>
      </c>
      <c r="E51" s="21">
        <v>0</v>
      </c>
      <c r="F51" s="22"/>
      <c r="G51" s="23"/>
      <c r="H51" s="24"/>
    </row>
    <row r="52" spans="1:8" ht="24" customHeight="1" x14ac:dyDescent="0.3">
      <c r="A52" s="18">
        <v>43</v>
      </c>
      <c r="B52" s="19" t="s">
        <v>837</v>
      </c>
      <c r="C52" s="18">
        <v>0</v>
      </c>
      <c r="D52" s="20" t="s">
        <v>11</v>
      </c>
      <c r="E52" s="21">
        <v>0</v>
      </c>
      <c r="F52" s="22"/>
      <c r="G52" s="23"/>
      <c r="H52" s="24"/>
    </row>
    <row r="53" spans="1:8" ht="24" customHeight="1" x14ac:dyDescent="0.3">
      <c r="A53" s="18">
        <v>44</v>
      </c>
      <c r="B53" s="19" t="s">
        <v>838</v>
      </c>
      <c r="C53" s="18">
        <v>0</v>
      </c>
      <c r="D53" s="20" t="s">
        <v>11</v>
      </c>
      <c r="E53" s="21">
        <v>0</v>
      </c>
      <c r="F53" s="22"/>
      <c r="G53" s="23"/>
      <c r="H53" s="24"/>
    </row>
    <row r="54" spans="1:8" ht="24" customHeight="1" x14ac:dyDescent="0.3">
      <c r="A54" s="18">
        <v>45</v>
      </c>
      <c r="B54" s="19" t="s">
        <v>839</v>
      </c>
      <c r="C54" s="18">
        <v>0</v>
      </c>
      <c r="D54" s="20" t="s">
        <v>11</v>
      </c>
      <c r="E54" s="21">
        <v>0</v>
      </c>
      <c r="F54" s="22"/>
      <c r="G54" s="23"/>
      <c r="H54" s="24"/>
    </row>
    <row r="55" spans="1:8" ht="24" customHeight="1" x14ac:dyDescent="0.3">
      <c r="A55" s="18">
        <v>46</v>
      </c>
      <c r="B55" s="19" t="s">
        <v>840</v>
      </c>
      <c r="C55" s="18">
        <v>0</v>
      </c>
      <c r="D55" s="20" t="s">
        <v>11</v>
      </c>
      <c r="E55" s="21">
        <v>0</v>
      </c>
      <c r="F55" s="22"/>
      <c r="G55" s="23"/>
      <c r="H55" s="24"/>
    </row>
    <row r="56" spans="1:8" ht="24" customHeight="1" x14ac:dyDescent="0.3">
      <c r="A56" s="18">
        <v>47</v>
      </c>
      <c r="B56" s="19" t="s">
        <v>841</v>
      </c>
      <c r="C56" s="18">
        <v>0</v>
      </c>
      <c r="D56" s="20" t="s">
        <v>11</v>
      </c>
      <c r="E56" s="21">
        <v>0</v>
      </c>
      <c r="F56" s="22"/>
      <c r="G56" s="23"/>
      <c r="H56" s="24"/>
    </row>
    <row r="57" spans="1:8" ht="24" customHeight="1" x14ac:dyDescent="0.3">
      <c r="A57" s="18">
        <v>48</v>
      </c>
      <c r="B57" s="19" t="s">
        <v>842</v>
      </c>
      <c r="C57" s="18">
        <v>0</v>
      </c>
      <c r="D57" s="20" t="s">
        <v>11</v>
      </c>
      <c r="E57" s="21">
        <v>0</v>
      </c>
      <c r="F57" s="22"/>
      <c r="G57" s="23"/>
      <c r="H57" s="24"/>
    </row>
    <row r="58" spans="1:8" ht="24" customHeight="1" x14ac:dyDescent="0.3">
      <c r="A58" s="18">
        <v>49</v>
      </c>
      <c r="B58" s="19" t="s">
        <v>843</v>
      </c>
      <c r="C58" s="18">
        <v>0</v>
      </c>
      <c r="D58" s="20" t="s">
        <v>11</v>
      </c>
      <c r="E58" s="21">
        <v>0</v>
      </c>
      <c r="F58" s="22"/>
      <c r="G58" s="23"/>
      <c r="H58" s="24"/>
    </row>
    <row r="59" spans="1:8" ht="24" customHeight="1" x14ac:dyDescent="0.3">
      <c r="A59" s="18">
        <v>50</v>
      </c>
      <c r="B59" s="19" t="s">
        <v>844</v>
      </c>
      <c r="C59" s="18">
        <v>0</v>
      </c>
      <c r="D59" s="20" t="s">
        <v>11</v>
      </c>
      <c r="E59" s="21">
        <v>0</v>
      </c>
      <c r="F59" s="22"/>
      <c r="G59" s="23"/>
      <c r="H59" s="24"/>
    </row>
    <row r="60" spans="1:8" ht="24" customHeight="1" x14ac:dyDescent="0.3">
      <c r="A60" s="18">
        <v>51</v>
      </c>
      <c r="B60" s="19" t="s">
        <v>845</v>
      </c>
      <c r="C60" s="18">
        <v>0</v>
      </c>
      <c r="D60" s="20" t="s">
        <v>11</v>
      </c>
      <c r="E60" s="21">
        <v>0</v>
      </c>
      <c r="F60" s="22"/>
      <c r="G60" s="23"/>
      <c r="H60" s="24"/>
    </row>
    <row r="61" spans="1:8" ht="24" customHeight="1" x14ac:dyDescent="0.3">
      <c r="A61" s="18">
        <v>52</v>
      </c>
      <c r="B61" s="19" t="s">
        <v>846</v>
      </c>
      <c r="C61" s="18">
        <v>0</v>
      </c>
      <c r="D61" s="20" t="s">
        <v>11</v>
      </c>
      <c r="E61" s="21">
        <v>0</v>
      </c>
      <c r="F61" s="22"/>
      <c r="G61" s="23"/>
      <c r="H61" s="24"/>
    </row>
    <row r="62" spans="1:8" ht="24" customHeight="1" x14ac:dyDescent="0.3">
      <c r="A62" s="18">
        <v>53</v>
      </c>
      <c r="B62" s="19" t="s">
        <v>847</v>
      </c>
      <c r="C62" s="18">
        <v>0</v>
      </c>
      <c r="D62" s="20" t="s">
        <v>11</v>
      </c>
      <c r="E62" s="21">
        <v>0</v>
      </c>
      <c r="F62" s="22"/>
      <c r="G62" s="23"/>
      <c r="H62" s="24"/>
    </row>
    <row r="63" spans="1:8" ht="24" customHeight="1" x14ac:dyDescent="0.3">
      <c r="A63" s="18">
        <v>54</v>
      </c>
      <c r="B63" s="19" t="s">
        <v>848</v>
      </c>
      <c r="C63" s="18">
        <v>0</v>
      </c>
      <c r="D63" s="20" t="s">
        <v>11</v>
      </c>
      <c r="E63" s="21">
        <v>0</v>
      </c>
      <c r="F63" s="22"/>
      <c r="G63" s="23"/>
      <c r="H63" s="24"/>
    </row>
    <row r="64" spans="1:8" ht="24" customHeight="1" x14ac:dyDescent="0.3">
      <c r="A64" s="18">
        <v>55</v>
      </c>
      <c r="B64" s="19" t="s">
        <v>849</v>
      </c>
      <c r="C64" s="18">
        <v>0</v>
      </c>
      <c r="D64" s="20" t="s">
        <v>11</v>
      </c>
      <c r="E64" s="21">
        <v>0</v>
      </c>
      <c r="F64" s="22"/>
      <c r="G64" s="23"/>
      <c r="H64" s="24"/>
    </row>
    <row r="65" spans="1:8" ht="24" customHeight="1" x14ac:dyDescent="0.3">
      <c r="A65" s="18">
        <v>56</v>
      </c>
      <c r="B65" s="19" t="s">
        <v>850</v>
      </c>
      <c r="C65" s="18">
        <v>0</v>
      </c>
      <c r="D65" s="20" t="s">
        <v>11</v>
      </c>
      <c r="E65" s="21">
        <v>0</v>
      </c>
      <c r="F65" s="22"/>
      <c r="G65" s="23"/>
      <c r="H65" s="24"/>
    </row>
    <row r="66" spans="1:8" ht="24" customHeight="1" x14ac:dyDescent="0.3">
      <c r="A66" s="18">
        <v>57</v>
      </c>
      <c r="B66" s="19" t="s">
        <v>851</v>
      </c>
      <c r="C66" s="18">
        <v>0</v>
      </c>
      <c r="D66" s="20" t="s">
        <v>11</v>
      </c>
      <c r="E66" s="21">
        <v>0</v>
      </c>
      <c r="F66" s="22"/>
      <c r="G66" s="23"/>
      <c r="H66" s="24"/>
    </row>
    <row r="67" spans="1:8" ht="24" customHeight="1" x14ac:dyDescent="0.3">
      <c r="A67" s="18">
        <v>58</v>
      </c>
      <c r="B67" s="19" t="s">
        <v>852</v>
      </c>
      <c r="C67" s="18">
        <v>0</v>
      </c>
      <c r="D67" s="20" t="s">
        <v>11</v>
      </c>
      <c r="E67" s="21">
        <v>0</v>
      </c>
      <c r="F67" s="22"/>
      <c r="G67" s="23"/>
      <c r="H67" s="24"/>
    </row>
    <row r="68" spans="1:8" ht="24" customHeight="1" x14ac:dyDescent="0.3">
      <c r="A68" s="18">
        <v>59</v>
      </c>
      <c r="B68" s="19" t="s">
        <v>853</v>
      </c>
      <c r="C68" s="18">
        <v>0</v>
      </c>
      <c r="D68" s="20" t="s">
        <v>11</v>
      </c>
      <c r="E68" s="21">
        <v>0</v>
      </c>
      <c r="F68" s="22"/>
      <c r="G68" s="23"/>
      <c r="H68" s="24"/>
    </row>
    <row r="69" spans="1:8" ht="24" customHeight="1" x14ac:dyDescent="0.3">
      <c r="A69" s="18">
        <v>60</v>
      </c>
      <c r="B69" s="19" t="s">
        <v>854</v>
      </c>
      <c r="C69" s="18">
        <v>0</v>
      </c>
      <c r="D69" s="20" t="s">
        <v>11</v>
      </c>
      <c r="E69" s="21">
        <v>0</v>
      </c>
      <c r="F69" s="22"/>
      <c r="G69" s="23"/>
      <c r="H69" s="24"/>
    </row>
    <row r="70" spans="1:8" ht="24" customHeight="1" x14ac:dyDescent="0.3">
      <c r="A70" s="18">
        <v>61</v>
      </c>
      <c r="B70" s="19" t="s">
        <v>855</v>
      </c>
      <c r="C70" s="18">
        <v>0</v>
      </c>
      <c r="D70" s="20" t="s">
        <v>11</v>
      </c>
      <c r="E70" s="21">
        <v>0</v>
      </c>
      <c r="F70" s="22"/>
      <c r="G70" s="23"/>
      <c r="H70" s="24"/>
    </row>
    <row r="71" spans="1:8" ht="24" customHeight="1" x14ac:dyDescent="0.3">
      <c r="A71" s="18">
        <v>62</v>
      </c>
      <c r="B71" s="19" t="s">
        <v>856</v>
      </c>
      <c r="C71" s="18">
        <v>0</v>
      </c>
      <c r="D71" s="20" t="s">
        <v>11</v>
      </c>
      <c r="E71" s="21">
        <v>0</v>
      </c>
      <c r="F71" s="22"/>
      <c r="G71" s="23"/>
      <c r="H71" s="24"/>
    </row>
    <row r="72" spans="1:8" ht="24" customHeight="1" x14ac:dyDescent="0.3">
      <c r="A72" s="18">
        <v>63</v>
      </c>
      <c r="B72" s="19" t="s">
        <v>857</v>
      </c>
      <c r="C72" s="18">
        <v>0</v>
      </c>
      <c r="D72" s="20" t="s">
        <v>11</v>
      </c>
      <c r="E72" s="21">
        <v>0</v>
      </c>
      <c r="F72" s="22"/>
      <c r="G72" s="23"/>
      <c r="H72" s="24"/>
    </row>
    <row r="73" spans="1:8" ht="24" customHeight="1" x14ac:dyDescent="0.3">
      <c r="A73" s="18">
        <v>64</v>
      </c>
      <c r="B73" s="19" t="s">
        <v>858</v>
      </c>
      <c r="C73" s="18">
        <v>0</v>
      </c>
      <c r="D73" s="20" t="s">
        <v>11</v>
      </c>
      <c r="E73" s="21">
        <v>0</v>
      </c>
      <c r="F73" s="22"/>
      <c r="G73" s="23"/>
      <c r="H73" s="24"/>
    </row>
    <row r="74" spans="1:8" ht="24" customHeight="1" x14ac:dyDescent="0.3">
      <c r="A74" s="18">
        <v>65</v>
      </c>
      <c r="B74" s="19" t="s">
        <v>859</v>
      </c>
      <c r="C74" s="18">
        <v>0</v>
      </c>
      <c r="D74" s="20" t="s">
        <v>11</v>
      </c>
      <c r="E74" s="21">
        <v>0</v>
      </c>
      <c r="F74" s="22"/>
      <c r="G74" s="23"/>
      <c r="H74" s="24"/>
    </row>
    <row r="75" spans="1:8" ht="24" customHeight="1" x14ac:dyDescent="0.3">
      <c r="A75" s="18">
        <v>66</v>
      </c>
      <c r="B75" s="19" t="s">
        <v>860</v>
      </c>
      <c r="C75" s="18">
        <v>0</v>
      </c>
      <c r="D75" s="20" t="s">
        <v>11</v>
      </c>
      <c r="E75" s="21">
        <v>0</v>
      </c>
      <c r="F75" s="22"/>
      <c r="G75" s="23"/>
      <c r="H75" s="24"/>
    </row>
    <row r="76" spans="1:8" ht="24" customHeight="1" x14ac:dyDescent="0.3">
      <c r="A76" s="18">
        <v>67</v>
      </c>
      <c r="B76" s="19" t="s">
        <v>861</v>
      </c>
      <c r="C76" s="18">
        <v>0</v>
      </c>
      <c r="D76" s="20" t="s">
        <v>11</v>
      </c>
      <c r="E76" s="21">
        <v>0</v>
      </c>
      <c r="F76" s="22"/>
      <c r="G76" s="23"/>
      <c r="H76" s="24"/>
    </row>
    <row r="77" spans="1:8" ht="24" customHeight="1" x14ac:dyDescent="0.3">
      <c r="A77" s="18">
        <v>68</v>
      </c>
      <c r="B77" s="19" t="s">
        <v>862</v>
      </c>
      <c r="C77" s="18">
        <v>0</v>
      </c>
      <c r="D77" s="20" t="s">
        <v>11</v>
      </c>
      <c r="E77" s="21">
        <v>0</v>
      </c>
      <c r="F77" s="22"/>
      <c r="G77" s="23"/>
      <c r="H77" s="24"/>
    </row>
    <row r="78" spans="1:8" ht="24" customHeight="1" x14ac:dyDescent="0.3">
      <c r="A78" s="18">
        <v>69</v>
      </c>
      <c r="B78" s="19" t="s">
        <v>863</v>
      </c>
      <c r="C78" s="18">
        <v>0</v>
      </c>
      <c r="D78" s="20" t="s">
        <v>11</v>
      </c>
      <c r="E78" s="21">
        <v>0</v>
      </c>
      <c r="F78" s="22"/>
      <c r="G78" s="23"/>
      <c r="H78" s="24"/>
    </row>
    <row r="79" spans="1:8" ht="24" customHeight="1" x14ac:dyDescent="0.3">
      <c r="A79" s="18">
        <v>70</v>
      </c>
      <c r="B79" s="19" t="s">
        <v>864</v>
      </c>
      <c r="C79" s="18">
        <v>0</v>
      </c>
      <c r="D79" s="20" t="s">
        <v>11</v>
      </c>
      <c r="E79" s="21">
        <v>0</v>
      </c>
      <c r="F79" s="22"/>
      <c r="G79" s="23"/>
      <c r="H79" s="24"/>
    </row>
    <row r="80" spans="1:8" ht="24" customHeight="1" x14ac:dyDescent="0.3">
      <c r="A80" s="18">
        <v>71</v>
      </c>
      <c r="B80" s="19" t="s">
        <v>865</v>
      </c>
      <c r="C80" s="18">
        <v>0</v>
      </c>
      <c r="D80" s="20" t="s">
        <v>11</v>
      </c>
      <c r="E80" s="21">
        <v>0</v>
      </c>
      <c r="F80" s="22"/>
      <c r="G80" s="23"/>
      <c r="H80" s="24"/>
    </row>
    <row r="81" spans="1:8" ht="24" customHeight="1" x14ac:dyDescent="0.3">
      <c r="A81" s="18">
        <v>72</v>
      </c>
      <c r="B81" s="19" t="s">
        <v>866</v>
      </c>
      <c r="C81" s="18">
        <v>0</v>
      </c>
      <c r="D81" s="20" t="s">
        <v>11</v>
      </c>
      <c r="E81" s="21">
        <v>0</v>
      </c>
      <c r="F81" s="22"/>
      <c r="G81" s="23"/>
      <c r="H81" s="24"/>
    </row>
    <row r="82" spans="1:8" ht="24" customHeight="1" x14ac:dyDescent="0.3">
      <c r="A82" s="18">
        <v>73</v>
      </c>
      <c r="B82" s="19" t="s">
        <v>867</v>
      </c>
      <c r="C82" s="18">
        <v>0</v>
      </c>
      <c r="D82" s="20" t="s">
        <v>11</v>
      </c>
      <c r="E82" s="21">
        <v>0</v>
      </c>
      <c r="F82" s="22"/>
      <c r="G82" s="23"/>
      <c r="H82" s="24"/>
    </row>
    <row r="83" spans="1:8" ht="24" customHeight="1" x14ac:dyDescent="0.3">
      <c r="A83" s="18">
        <v>74</v>
      </c>
      <c r="B83" s="19" t="s">
        <v>868</v>
      </c>
      <c r="C83" s="18">
        <v>0</v>
      </c>
      <c r="D83" s="20" t="s">
        <v>11</v>
      </c>
      <c r="E83" s="21">
        <v>0</v>
      </c>
      <c r="F83" s="22"/>
      <c r="G83" s="23"/>
      <c r="H83" s="24"/>
    </row>
    <row r="84" spans="1:8" ht="24" customHeight="1" x14ac:dyDescent="0.3">
      <c r="A84" s="18">
        <v>75</v>
      </c>
      <c r="B84" s="19" t="s">
        <v>869</v>
      </c>
      <c r="C84" s="18">
        <v>0</v>
      </c>
      <c r="D84" s="20" t="s">
        <v>11</v>
      </c>
      <c r="E84" s="21">
        <v>0</v>
      </c>
      <c r="F84" s="22"/>
      <c r="G84" s="23"/>
      <c r="H84" s="24"/>
    </row>
    <row r="85" spans="1:8" ht="24" customHeight="1" x14ac:dyDescent="0.3">
      <c r="A85" s="18">
        <v>76</v>
      </c>
      <c r="B85" s="19" t="s">
        <v>870</v>
      </c>
      <c r="C85" s="18">
        <v>0</v>
      </c>
      <c r="D85" s="20" t="s">
        <v>11</v>
      </c>
      <c r="E85" s="21">
        <v>0</v>
      </c>
      <c r="F85" s="22"/>
      <c r="G85" s="23"/>
      <c r="H85" s="24"/>
    </row>
    <row r="86" spans="1:8" ht="24" customHeight="1" x14ac:dyDescent="0.3">
      <c r="A86" s="18">
        <v>77</v>
      </c>
      <c r="B86" s="19" t="s">
        <v>871</v>
      </c>
      <c r="C86" s="18">
        <v>0</v>
      </c>
      <c r="D86" s="20" t="s">
        <v>11</v>
      </c>
      <c r="E86" s="21">
        <v>0</v>
      </c>
      <c r="F86" s="22"/>
      <c r="G86" s="23"/>
      <c r="H86" s="24"/>
    </row>
    <row r="87" spans="1:8" ht="24" customHeight="1" x14ac:dyDescent="0.3">
      <c r="A87" s="18">
        <v>78</v>
      </c>
      <c r="B87" s="19" t="s">
        <v>872</v>
      </c>
      <c r="C87" s="18">
        <v>0</v>
      </c>
      <c r="D87" s="20" t="s">
        <v>11</v>
      </c>
      <c r="E87" s="21">
        <v>0</v>
      </c>
      <c r="F87" s="22"/>
      <c r="G87" s="23"/>
      <c r="H87" s="24"/>
    </row>
    <row r="88" spans="1:8" ht="24" customHeight="1" x14ac:dyDescent="0.3">
      <c r="A88" s="18">
        <v>79</v>
      </c>
      <c r="B88" s="19" t="s">
        <v>873</v>
      </c>
      <c r="C88" s="18">
        <v>0</v>
      </c>
      <c r="D88" s="20" t="s">
        <v>11</v>
      </c>
      <c r="E88" s="21">
        <v>0</v>
      </c>
      <c r="F88" s="22"/>
      <c r="G88" s="23"/>
      <c r="H88" s="24"/>
    </row>
    <row r="89" spans="1:8" ht="24" customHeight="1" x14ac:dyDescent="0.3">
      <c r="A89" s="18">
        <v>80</v>
      </c>
      <c r="B89" s="19" t="s">
        <v>874</v>
      </c>
      <c r="C89" s="18">
        <v>0</v>
      </c>
      <c r="D89" s="20" t="s">
        <v>11</v>
      </c>
      <c r="E89" s="21">
        <v>0</v>
      </c>
      <c r="F89" s="22"/>
      <c r="G89" s="23"/>
      <c r="H89" s="24"/>
    </row>
    <row r="90" spans="1:8" ht="24" customHeight="1" x14ac:dyDescent="0.3">
      <c r="A90" s="18">
        <v>81</v>
      </c>
      <c r="B90" s="19" t="s">
        <v>875</v>
      </c>
      <c r="C90" s="18">
        <v>0</v>
      </c>
      <c r="D90" s="20" t="s">
        <v>11</v>
      </c>
      <c r="E90" s="21">
        <v>0</v>
      </c>
      <c r="F90" s="22"/>
      <c r="G90" s="23"/>
      <c r="H90" s="24"/>
    </row>
    <row r="91" spans="1:8" ht="24" customHeight="1" x14ac:dyDescent="0.3">
      <c r="A91" s="18">
        <v>82</v>
      </c>
      <c r="B91" s="19" t="s">
        <v>876</v>
      </c>
      <c r="C91" s="18">
        <v>0</v>
      </c>
      <c r="D91" s="20" t="s">
        <v>11</v>
      </c>
      <c r="E91" s="21">
        <v>0</v>
      </c>
      <c r="F91" s="22"/>
      <c r="G91" s="23"/>
      <c r="H91" s="24"/>
    </row>
    <row r="92" spans="1:8" ht="24" customHeight="1" x14ac:dyDescent="0.3">
      <c r="A92" s="18">
        <v>83</v>
      </c>
      <c r="B92" s="19" t="s">
        <v>877</v>
      </c>
      <c r="C92" s="18">
        <v>0</v>
      </c>
      <c r="D92" s="20" t="s">
        <v>11</v>
      </c>
      <c r="E92" s="21">
        <v>0</v>
      </c>
      <c r="F92" s="22"/>
      <c r="G92" s="23"/>
      <c r="H92" s="24"/>
    </row>
    <row r="93" spans="1:8" ht="24" customHeight="1" x14ac:dyDescent="0.3">
      <c r="A93" s="18">
        <v>84</v>
      </c>
      <c r="B93" s="19" t="s">
        <v>878</v>
      </c>
      <c r="C93" s="18">
        <v>0</v>
      </c>
      <c r="D93" s="20" t="s">
        <v>11</v>
      </c>
      <c r="E93" s="21">
        <v>0</v>
      </c>
      <c r="F93" s="22"/>
      <c r="G93" s="23"/>
      <c r="H93" s="24"/>
    </row>
    <row r="94" spans="1:8" ht="24" customHeight="1" x14ac:dyDescent="0.3">
      <c r="A94" s="18">
        <v>85</v>
      </c>
      <c r="B94" s="19" t="s">
        <v>879</v>
      </c>
      <c r="C94" s="18">
        <v>0</v>
      </c>
      <c r="D94" s="20" t="s">
        <v>11</v>
      </c>
      <c r="E94" s="21">
        <v>0</v>
      </c>
      <c r="F94" s="22"/>
      <c r="G94" s="23"/>
      <c r="H94" s="24"/>
    </row>
    <row r="95" spans="1:8" ht="24" customHeight="1" x14ac:dyDescent="0.3">
      <c r="A95" s="18">
        <v>86</v>
      </c>
      <c r="B95" s="19" t="s">
        <v>880</v>
      </c>
      <c r="C95" s="18">
        <v>0</v>
      </c>
      <c r="D95" s="20" t="s">
        <v>11</v>
      </c>
      <c r="E95" s="21">
        <v>0</v>
      </c>
      <c r="F95" s="22"/>
      <c r="G95" s="23"/>
      <c r="H95" s="24"/>
    </row>
    <row r="96" spans="1:8" ht="24" customHeight="1" x14ac:dyDescent="0.3">
      <c r="A96" s="18">
        <v>87</v>
      </c>
      <c r="B96" s="19" t="s">
        <v>881</v>
      </c>
      <c r="C96" s="18">
        <v>0</v>
      </c>
      <c r="D96" s="20" t="s">
        <v>11</v>
      </c>
      <c r="E96" s="21">
        <v>0</v>
      </c>
      <c r="F96" s="22"/>
      <c r="G96" s="23"/>
      <c r="H96" s="24"/>
    </row>
    <row r="97" spans="1:8" ht="24" customHeight="1" x14ac:dyDescent="0.3">
      <c r="A97" s="18">
        <v>88</v>
      </c>
      <c r="B97" s="19" t="s">
        <v>882</v>
      </c>
      <c r="C97" s="18">
        <v>0</v>
      </c>
      <c r="D97" s="20" t="s">
        <v>11</v>
      </c>
      <c r="E97" s="21">
        <v>0</v>
      </c>
      <c r="F97" s="22"/>
      <c r="G97" s="23"/>
      <c r="H97" s="24"/>
    </row>
    <row r="98" spans="1:8" ht="24" customHeight="1" x14ac:dyDescent="0.3">
      <c r="A98" s="18">
        <v>89</v>
      </c>
      <c r="B98" s="19" t="s">
        <v>883</v>
      </c>
      <c r="C98" s="18">
        <v>0</v>
      </c>
      <c r="D98" s="20" t="s">
        <v>11</v>
      </c>
      <c r="E98" s="21">
        <v>0</v>
      </c>
      <c r="F98" s="22"/>
      <c r="G98" s="23"/>
      <c r="H98" s="24"/>
    </row>
    <row r="99" spans="1:8" ht="24" customHeight="1" x14ac:dyDescent="0.3">
      <c r="A99" s="18">
        <v>90</v>
      </c>
      <c r="B99" s="19" t="s">
        <v>884</v>
      </c>
      <c r="C99" s="18">
        <v>0</v>
      </c>
      <c r="D99" s="20" t="s">
        <v>11</v>
      </c>
      <c r="E99" s="21">
        <v>0</v>
      </c>
      <c r="F99" s="22"/>
      <c r="G99" s="23"/>
      <c r="H99" s="24"/>
    </row>
    <row r="100" spans="1:8" ht="24" customHeight="1" x14ac:dyDescent="0.3">
      <c r="A100" s="18">
        <v>91</v>
      </c>
      <c r="B100" s="19" t="s">
        <v>885</v>
      </c>
      <c r="C100" s="18">
        <v>0</v>
      </c>
      <c r="D100" s="20" t="s">
        <v>11</v>
      </c>
      <c r="E100" s="21">
        <v>0</v>
      </c>
      <c r="F100" s="22"/>
      <c r="G100" s="23"/>
      <c r="H100" s="24"/>
    </row>
    <row r="101" spans="1:8" ht="24" customHeight="1" x14ac:dyDescent="0.3">
      <c r="A101" s="18">
        <v>92</v>
      </c>
      <c r="B101" s="19" t="s">
        <v>886</v>
      </c>
      <c r="C101" s="18">
        <v>0</v>
      </c>
      <c r="D101" s="20" t="s">
        <v>11</v>
      </c>
      <c r="E101" s="21">
        <v>0</v>
      </c>
      <c r="F101" s="22"/>
      <c r="G101" s="23"/>
      <c r="H101" s="24"/>
    </row>
    <row r="102" spans="1:8" ht="24" customHeight="1" x14ac:dyDescent="0.3">
      <c r="A102" s="18">
        <v>93</v>
      </c>
      <c r="B102" s="19" t="s">
        <v>887</v>
      </c>
      <c r="C102" s="18">
        <v>0</v>
      </c>
      <c r="D102" s="20" t="s">
        <v>11</v>
      </c>
      <c r="E102" s="21">
        <v>0</v>
      </c>
      <c r="F102" s="22"/>
      <c r="G102" s="23"/>
      <c r="H102" s="24"/>
    </row>
    <row r="103" spans="1:8" ht="24" customHeight="1" x14ac:dyDescent="0.3">
      <c r="A103" s="18">
        <v>94</v>
      </c>
      <c r="B103" s="19" t="s">
        <v>888</v>
      </c>
      <c r="C103" s="18">
        <v>0</v>
      </c>
      <c r="D103" s="20" t="s">
        <v>11</v>
      </c>
      <c r="E103" s="21">
        <v>0</v>
      </c>
      <c r="F103" s="22"/>
      <c r="G103" s="23"/>
      <c r="H103" s="24"/>
    </row>
    <row r="104" spans="1:8" ht="24" customHeight="1" x14ac:dyDescent="0.3">
      <c r="A104" s="18">
        <v>95</v>
      </c>
      <c r="B104" s="19" t="s">
        <v>889</v>
      </c>
      <c r="C104" s="18">
        <v>0</v>
      </c>
      <c r="D104" s="20" t="s">
        <v>11</v>
      </c>
      <c r="E104" s="21">
        <v>0</v>
      </c>
      <c r="F104" s="22"/>
      <c r="G104" s="23"/>
      <c r="H104" s="24"/>
    </row>
    <row r="105" spans="1:8" ht="24" customHeight="1" x14ac:dyDescent="0.3">
      <c r="A105" s="18">
        <v>96</v>
      </c>
      <c r="B105" s="19" t="s">
        <v>890</v>
      </c>
      <c r="C105" s="18">
        <v>0</v>
      </c>
      <c r="D105" s="20" t="s">
        <v>11</v>
      </c>
      <c r="E105" s="21">
        <v>0</v>
      </c>
      <c r="F105" s="22"/>
      <c r="G105" s="23"/>
      <c r="H105" s="24"/>
    </row>
    <row r="106" spans="1:8" ht="24" customHeight="1" x14ac:dyDescent="0.3">
      <c r="A106" s="18">
        <v>97</v>
      </c>
      <c r="B106" s="19" t="s">
        <v>891</v>
      </c>
      <c r="C106" s="18">
        <v>0</v>
      </c>
      <c r="D106" s="20" t="s">
        <v>11</v>
      </c>
      <c r="E106" s="21">
        <v>0</v>
      </c>
      <c r="F106" s="22"/>
      <c r="G106" s="23"/>
      <c r="H106" s="24"/>
    </row>
    <row r="107" spans="1:8" ht="24" customHeight="1" x14ac:dyDescent="0.3">
      <c r="A107" s="18">
        <v>98</v>
      </c>
      <c r="B107" s="19" t="s">
        <v>892</v>
      </c>
      <c r="C107" s="18">
        <v>0</v>
      </c>
      <c r="D107" s="20" t="s">
        <v>11</v>
      </c>
      <c r="E107" s="21">
        <v>0</v>
      </c>
      <c r="F107" s="22"/>
      <c r="G107" s="23"/>
      <c r="H107" s="24"/>
    </row>
    <row r="108" spans="1:8" ht="24" customHeight="1" x14ac:dyDescent="0.3">
      <c r="A108" s="18">
        <v>99</v>
      </c>
      <c r="B108" s="19" t="s">
        <v>893</v>
      </c>
      <c r="C108" s="18">
        <v>0</v>
      </c>
      <c r="D108" s="20" t="s">
        <v>11</v>
      </c>
      <c r="E108" s="21">
        <v>0</v>
      </c>
      <c r="F108" s="22"/>
      <c r="G108" s="23"/>
      <c r="H108" s="24"/>
    </row>
    <row r="109" spans="1:8" ht="24" customHeight="1" x14ac:dyDescent="0.3">
      <c r="A109" s="18">
        <v>100</v>
      </c>
      <c r="B109" s="19" t="s">
        <v>894</v>
      </c>
      <c r="C109" s="18">
        <v>0</v>
      </c>
      <c r="D109" s="20" t="s">
        <v>11</v>
      </c>
      <c r="E109" s="21">
        <v>0</v>
      </c>
      <c r="F109" s="22"/>
      <c r="G109" s="23"/>
      <c r="H109" s="24"/>
    </row>
    <row r="110" spans="1:8" ht="24" customHeight="1" x14ac:dyDescent="0.3">
      <c r="A110" s="18">
        <v>101</v>
      </c>
      <c r="B110" s="19" t="s">
        <v>895</v>
      </c>
      <c r="C110" s="18">
        <v>0</v>
      </c>
      <c r="D110" s="20" t="s">
        <v>11</v>
      </c>
      <c r="E110" s="21">
        <v>0</v>
      </c>
      <c r="F110" s="22"/>
      <c r="G110" s="23"/>
      <c r="H110" s="24"/>
    </row>
    <row r="111" spans="1:8" ht="24" customHeight="1" x14ac:dyDescent="0.3">
      <c r="A111" s="18">
        <v>102</v>
      </c>
      <c r="B111" s="19" t="s">
        <v>896</v>
      </c>
      <c r="C111" s="18">
        <v>0</v>
      </c>
      <c r="D111" s="20" t="s">
        <v>11</v>
      </c>
      <c r="E111" s="21">
        <v>0</v>
      </c>
      <c r="F111" s="22"/>
      <c r="G111" s="23"/>
      <c r="H111" s="24"/>
    </row>
    <row r="112" spans="1:8" ht="24" customHeight="1" x14ac:dyDescent="0.3">
      <c r="A112" s="18">
        <v>103</v>
      </c>
      <c r="B112" s="19" t="s">
        <v>897</v>
      </c>
      <c r="C112" s="18">
        <v>0</v>
      </c>
      <c r="D112" s="20" t="s">
        <v>11</v>
      </c>
      <c r="E112" s="21">
        <v>0</v>
      </c>
      <c r="F112" s="22"/>
      <c r="G112" s="23"/>
      <c r="H112" s="24"/>
    </row>
    <row r="113" spans="1:8" ht="24" customHeight="1" x14ac:dyDescent="0.3">
      <c r="A113" s="18">
        <v>104</v>
      </c>
      <c r="B113" s="19" t="s">
        <v>898</v>
      </c>
      <c r="C113" s="18">
        <v>0</v>
      </c>
      <c r="D113" s="20" t="s">
        <v>11</v>
      </c>
      <c r="E113" s="21">
        <v>0</v>
      </c>
      <c r="F113" s="22"/>
      <c r="G113" s="23"/>
      <c r="H113" s="24"/>
    </row>
    <row r="114" spans="1:8" ht="24" customHeight="1" x14ac:dyDescent="0.3">
      <c r="A114" s="18">
        <v>105</v>
      </c>
      <c r="B114" s="19" t="s">
        <v>899</v>
      </c>
      <c r="C114" s="18">
        <v>0</v>
      </c>
      <c r="D114" s="20" t="s">
        <v>11</v>
      </c>
      <c r="E114" s="21">
        <v>0</v>
      </c>
      <c r="F114" s="22"/>
      <c r="G114" s="23"/>
      <c r="H114" s="24"/>
    </row>
    <row r="115" spans="1:8" ht="24" customHeight="1" x14ac:dyDescent="0.3">
      <c r="A115" s="18">
        <v>106</v>
      </c>
      <c r="B115" s="19" t="s">
        <v>900</v>
      </c>
      <c r="C115" s="18">
        <v>0</v>
      </c>
      <c r="D115" s="20" t="s">
        <v>11</v>
      </c>
      <c r="E115" s="21">
        <v>0</v>
      </c>
      <c r="F115" s="22"/>
      <c r="G115" s="23"/>
      <c r="H115" s="24"/>
    </row>
    <row r="116" spans="1:8" ht="24" customHeight="1" x14ac:dyDescent="0.3">
      <c r="A116" s="18">
        <v>107</v>
      </c>
      <c r="B116" s="19" t="s">
        <v>901</v>
      </c>
      <c r="C116" s="18">
        <v>0</v>
      </c>
      <c r="D116" s="20" t="s">
        <v>11</v>
      </c>
      <c r="E116" s="21">
        <v>0</v>
      </c>
      <c r="F116" s="22"/>
      <c r="G116" s="23"/>
      <c r="H116" s="24"/>
    </row>
    <row r="117" spans="1:8" ht="24" customHeight="1" x14ac:dyDescent="0.3">
      <c r="A117" s="18">
        <v>108</v>
      </c>
      <c r="B117" s="19" t="s">
        <v>902</v>
      </c>
      <c r="C117" s="18">
        <v>0</v>
      </c>
      <c r="D117" s="20" t="s">
        <v>11</v>
      </c>
      <c r="E117" s="21">
        <v>0</v>
      </c>
      <c r="F117" s="22"/>
      <c r="G117" s="23"/>
      <c r="H117" s="24"/>
    </row>
    <row r="118" spans="1:8" ht="24" customHeight="1" x14ac:dyDescent="0.3">
      <c r="A118" s="18">
        <v>109</v>
      </c>
      <c r="B118" s="19" t="s">
        <v>903</v>
      </c>
      <c r="C118" s="18">
        <v>0</v>
      </c>
      <c r="D118" s="20" t="s">
        <v>11</v>
      </c>
      <c r="E118" s="21">
        <v>0</v>
      </c>
      <c r="F118" s="22"/>
      <c r="G118" s="23"/>
      <c r="H118" s="24"/>
    </row>
    <row r="119" spans="1:8" ht="24" customHeight="1" x14ac:dyDescent="0.3">
      <c r="A119" s="18">
        <v>110</v>
      </c>
      <c r="B119" s="19" t="s">
        <v>904</v>
      </c>
      <c r="C119" s="18">
        <v>0</v>
      </c>
      <c r="D119" s="20" t="s">
        <v>11</v>
      </c>
      <c r="E119" s="21">
        <v>0</v>
      </c>
      <c r="F119" s="22"/>
      <c r="G119" s="23"/>
      <c r="H119" s="24"/>
    </row>
    <row r="120" spans="1:8" ht="24" customHeight="1" x14ac:dyDescent="0.3">
      <c r="A120" s="18">
        <v>111</v>
      </c>
      <c r="B120" s="19" t="s">
        <v>905</v>
      </c>
      <c r="C120" s="18">
        <v>0</v>
      </c>
      <c r="D120" s="20" t="s">
        <v>11</v>
      </c>
      <c r="E120" s="21">
        <v>0</v>
      </c>
      <c r="F120" s="22"/>
      <c r="G120" s="23"/>
      <c r="H120" s="24"/>
    </row>
    <row r="121" spans="1:8" ht="24" customHeight="1" x14ac:dyDescent="0.3">
      <c r="A121" s="18">
        <v>112</v>
      </c>
      <c r="B121" s="19" t="s">
        <v>906</v>
      </c>
      <c r="C121" s="18">
        <v>0</v>
      </c>
      <c r="D121" s="20" t="s">
        <v>11</v>
      </c>
      <c r="E121" s="21">
        <v>0</v>
      </c>
      <c r="F121" s="22"/>
      <c r="G121" s="23"/>
      <c r="H121" s="24"/>
    </row>
    <row r="122" spans="1:8" ht="24" customHeight="1" x14ac:dyDescent="0.3">
      <c r="A122" s="18">
        <v>113</v>
      </c>
      <c r="B122" s="19" t="s">
        <v>907</v>
      </c>
      <c r="C122" s="18">
        <v>0</v>
      </c>
      <c r="D122" s="20" t="s">
        <v>11</v>
      </c>
      <c r="E122" s="21">
        <v>0</v>
      </c>
      <c r="F122" s="22"/>
      <c r="G122" s="23"/>
      <c r="H122" s="24"/>
    </row>
    <row r="123" spans="1:8" ht="24" customHeight="1" x14ac:dyDescent="0.3">
      <c r="A123" s="18">
        <v>114</v>
      </c>
      <c r="B123" s="19" t="s">
        <v>908</v>
      </c>
      <c r="C123" s="18">
        <v>0</v>
      </c>
      <c r="D123" s="20" t="s">
        <v>11</v>
      </c>
      <c r="E123" s="21">
        <v>0</v>
      </c>
      <c r="F123" s="22"/>
      <c r="G123" s="23"/>
      <c r="H123" s="24"/>
    </row>
    <row r="124" spans="1:8" ht="24" customHeight="1" x14ac:dyDescent="0.3">
      <c r="A124" s="18">
        <v>115</v>
      </c>
      <c r="B124" s="19" t="s">
        <v>909</v>
      </c>
      <c r="C124" s="18">
        <v>0</v>
      </c>
      <c r="D124" s="20" t="s">
        <v>11</v>
      </c>
      <c r="E124" s="21">
        <v>0</v>
      </c>
      <c r="F124" s="22"/>
      <c r="G124" s="23"/>
      <c r="H124" s="24"/>
    </row>
    <row r="125" spans="1:8" ht="24" customHeight="1" x14ac:dyDescent="0.3">
      <c r="A125" s="18">
        <v>116</v>
      </c>
      <c r="B125" s="19" t="s">
        <v>910</v>
      </c>
      <c r="C125" s="18">
        <v>0</v>
      </c>
      <c r="D125" s="20" t="s">
        <v>11</v>
      </c>
      <c r="E125" s="21">
        <v>0</v>
      </c>
      <c r="F125" s="22"/>
      <c r="G125" s="23"/>
      <c r="H125" s="24"/>
    </row>
    <row r="126" spans="1:8" ht="24" customHeight="1" x14ac:dyDescent="0.3">
      <c r="A126" s="18">
        <v>117</v>
      </c>
      <c r="B126" s="19" t="s">
        <v>911</v>
      </c>
      <c r="C126" s="18">
        <v>0</v>
      </c>
      <c r="D126" s="20" t="s">
        <v>11</v>
      </c>
      <c r="E126" s="21">
        <v>0</v>
      </c>
      <c r="F126" s="22"/>
      <c r="G126" s="23"/>
      <c r="H126" s="24"/>
    </row>
    <row r="127" spans="1:8" ht="24" customHeight="1" x14ac:dyDescent="0.3">
      <c r="A127" s="18">
        <v>118</v>
      </c>
      <c r="B127" s="19" t="s">
        <v>912</v>
      </c>
      <c r="C127" s="18">
        <v>0</v>
      </c>
      <c r="D127" s="20" t="s">
        <v>11</v>
      </c>
      <c r="E127" s="21">
        <v>0</v>
      </c>
      <c r="F127" s="22"/>
      <c r="G127" s="23"/>
      <c r="H127" s="24"/>
    </row>
    <row r="128" spans="1:8" ht="24" customHeight="1" x14ac:dyDescent="0.3">
      <c r="A128" s="18">
        <v>119</v>
      </c>
      <c r="B128" s="19" t="s">
        <v>913</v>
      </c>
      <c r="C128" s="18">
        <v>0</v>
      </c>
      <c r="D128" s="20" t="s">
        <v>11</v>
      </c>
      <c r="E128" s="21">
        <v>0</v>
      </c>
      <c r="F128" s="22"/>
      <c r="G128" s="23"/>
      <c r="H128" s="24"/>
    </row>
    <row r="129" spans="1:8" ht="24" customHeight="1" x14ac:dyDescent="0.3">
      <c r="A129" s="18">
        <v>120</v>
      </c>
      <c r="B129" s="19" t="s">
        <v>914</v>
      </c>
      <c r="C129" s="18">
        <v>0</v>
      </c>
      <c r="D129" s="20" t="s">
        <v>11</v>
      </c>
      <c r="E129" s="21">
        <v>0</v>
      </c>
      <c r="F129" s="22"/>
      <c r="G129" s="23"/>
      <c r="H129" s="24"/>
    </row>
    <row r="130" spans="1:8" ht="24" customHeight="1" x14ac:dyDescent="0.3">
      <c r="A130" s="18">
        <v>121</v>
      </c>
      <c r="B130" s="19" t="s">
        <v>915</v>
      </c>
      <c r="C130" s="18">
        <v>0</v>
      </c>
      <c r="D130" s="20" t="s">
        <v>11</v>
      </c>
      <c r="E130" s="21">
        <v>0</v>
      </c>
      <c r="F130" s="22"/>
      <c r="G130" s="23"/>
      <c r="H130" s="24"/>
    </row>
    <row r="131" spans="1:8" ht="24" customHeight="1" x14ac:dyDescent="0.3">
      <c r="A131" s="18">
        <v>122</v>
      </c>
      <c r="B131" s="19" t="s">
        <v>916</v>
      </c>
      <c r="C131" s="18">
        <v>0</v>
      </c>
      <c r="D131" s="20" t="s">
        <v>11</v>
      </c>
      <c r="E131" s="21">
        <v>0</v>
      </c>
      <c r="F131" s="22"/>
      <c r="G131" s="23"/>
      <c r="H131" s="24"/>
    </row>
    <row r="132" spans="1:8" ht="24" customHeight="1" x14ac:dyDescent="0.3">
      <c r="A132" s="18">
        <v>123</v>
      </c>
      <c r="B132" s="19" t="s">
        <v>917</v>
      </c>
      <c r="C132" s="18">
        <v>0</v>
      </c>
      <c r="D132" s="20" t="s">
        <v>11</v>
      </c>
      <c r="E132" s="21">
        <v>0</v>
      </c>
      <c r="F132" s="22"/>
      <c r="G132" s="23"/>
      <c r="H132" s="24"/>
    </row>
    <row r="133" spans="1:8" ht="24" customHeight="1" x14ac:dyDescent="0.3">
      <c r="A133" s="18">
        <v>124</v>
      </c>
      <c r="B133" s="19" t="s">
        <v>918</v>
      </c>
      <c r="C133" s="18">
        <v>0</v>
      </c>
      <c r="D133" s="20" t="s">
        <v>11</v>
      </c>
      <c r="E133" s="21">
        <v>0</v>
      </c>
      <c r="F133" s="22"/>
      <c r="G133" s="23"/>
      <c r="H133" s="24"/>
    </row>
    <row r="134" spans="1:8" ht="24" customHeight="1" x14ac:dyDescent="0.3">
      <c r="A134" s="18">
        <v>125</v>
      </c>
      <c r="B134" s="19" t="s">
        <v>919</v>
      </c>
      <c r="C134" s="18">
        <v>0</v>
      </c>
      <c r="D134" s="20" t="s">
        <v>11</v>
      </c>
      <c r="E134" s="21">
        <v>0</v>
      </c>
      <c r="F134" s="22"/>
      <c r="G134" s="23"/>
      <c r="H134" s="24"/>
    </row>
    <row r="135" spans="1:8" ht="24" customHeight="1" x14ac:dyDescent="0.3">
      <c r="A135" s="18">
        <v>126</v>
      </c>
      <c r="B135" s="19" t="s">
        <v>920</v>
      </c>
      <c r="C135" s="18">
        <v>0</v>
      </c>
      <c r="D135" s="20" t="s">
        <v>11</v>
      </c>
      <c r="E135" s="21">
        <v>0</v>
      </c>
      <c r="F135" s="22"/>
      <c r="G135" s="23"/>
      <c r="H135" s="24"/>
    </row>
    <row r="136" spans="1:8" ht="24" customHeight="1" x14ac:dyDescent="0.3">
      <c r="A136" s="18">
        <v>127</v>
      </c>
      <c r="B136" s="19" t="s">
        <v>921</v>
      </c>
      <c r="C136" s="18">
        <v>0</v>
      </c>
      <c r="D136" s="20" t="s">
        <v>11</v>
      </c>
      <c r="E136" s="21">
        <v>0</v>
      </c>
      <c r="F136" s="22"/>
      <c r="G136" s="23"/>
      <c r="H136" s="24"/>
    </row>
    <row r="137" spans="1:8" ht="24" customHeight="1" x14ac:dyDescent="0.3">
      <c r="A137" s="18">
        <v>128</v>
      </c>
      <c r="B137" s="19" t="s">
        <v>922</v>
      </c>
      <c r="C137" s="18">
        <v>0</v>
      </c>
      <c r="D137" s="20" t="s">
        <v>11</v>
      </c>
      <c r="E137" s="21">
        <v>0</v>
      </c>
      <c r="F137" s="22"/>
      <c r="G137" s="23"/>
      <c r="H137" s="24"/>
    </row>
    <row r="138" spans="1:8" ht="24" customHeight="1" x14ac:dyDescent="0.3">
      <c r="A138" s="18">
        <v>129</v>
      </c>
      <c r="B138" s="19" t="s">
        <v>923</v>
      </c>
      <c r="C138" s="18">
        <v>0</v>
      </c>
      <c r="D138" s="20" t="s">
        <v>11</v>
      </c>
      <c r="E138" s="21">
        <v>0</v>
      </c>
      <c r="F138" s="22"/>
      <c r="G138" s="23"/>
      <c r="H138" s="24"/>
    </row>
    <row r="139" spans="1:8" ht="24" customHeight="1" x14ac:dyDescent="0.3">
      <c r="A139" s="18">
        <v>130</v>
      </c>
      <c r="B139" s="19" t="s">
        <v>924</v>
      </c>
      <c r="C139" s="18">
        <v>0</v>
      </c>
      <c r="D139" s="20" t="s">
        <v>11</v>
      </c>
      <c r="E139" s="21">
        <v>0</v>
      </c>
      <c r="F139" s="22"/>
      <c r="G139" s="23"/>
      <c r="H139" s="24"/>
    </row>
    <row r="140" spans="1:8" ht="24" customHeight="1" x14ac:dyDescent="0.3">
      <c r="A140" s="18">
        <v>131</v>
      </c>
      <c r="B140" s="19" t="s">
        <v>925</v>
      </c>
      <c r="C140" s="18">
        <v>0</v>
      </c>
      <c r="D140" s="20" t="s">
        <v>11</v>
      </c>
      <c r="E140" s="21">
        <v>0</v>
      </c>
      <c r="F140" s="22"/>
      <c r="G140" s="23"/>
      <c r="H140" s="24"/>
    </row>
    <row r="141" spans="1:8" ht="24" customHeight="1" x14ac:dyDescent="0.3">
      <c r="A141" s="18">
        <v>132</v>
      </c>
      <c r="B141" s="19" t="s">
        <v>926</v>
      </c>
      <c r="C141" s="18">
        <v>0</v>
      </c>
      <c r="D141" s="20" t="s">
        <v>11</v>
      </c>
      <c r="E141" s="21">
        <v>0</v>
      </c>
      <c r="F141" s="22"/>
      <c r="G141" s="23"/>
      <c r="H141" s="24"/>
    </row>
    <row r="142" spans="1:8" ht="24" customHeight="1" x14ac:dyDescent="0.3">
      <c r="A142" s="18">
        <v>133</v>
      </c>
      <c r="B142" s="19" t="s">
        <v>927</v>
      </c>
      <c r="C142" s="18">
        <v>0</v>
      </c>
      <c r="D142" s="20" t="s">
        <v>11</v>
      </c>
      <c r="E142" s="21">
        <v>0</v>
      </c>
      <c r="F142" s="22"/>
      <c r="G142" s="23"/>
      <c r="H142" s="24"/>
    </row>
    <row r="143" spans="1:8" ht="24" customHeight="1" x14ac:dyDescent="0.3">
      <c r="A143" s="18">
        <v>134</v>
      </c>
      <c r="B143" s="19" t="s">
        <v>928</v>
      </c>
      <c r="C143" s="18">
        <v>0</v>
      </c>
      <c r="D143" s="20" t="s">
        <v>11</v>
      </c>
      <c r="E143" s="21">
        <v>0</v>
      </c>
      <c r="F143" s="22"/>
      <c r="G143" s="23"/>
      <c r="H143" s="24"/>
    </row>
    <row r="144" spans="1:8" ht="24" customHeight="1" x14ac:dyDescent="0.3">
      <c r="A144" s="18">
        <v>135</v>
      </c>
      <c r="B144" s="19" t="s">
        <v>929</v>
      </c>
      <c r="C144" s="18">
        <v>0</v>
      </c>
      <c r="D144" s="20" t="s">
        <v>11</v>
      </c>
      <c r="E144" s="21">
        <v>0</v>
      </c>
      <c r="F144" s="22"/>
      <c r="G144" s="23"/>
      <c r="H144" s="24"/>
    </row>
    <row r="145" spans="1:8" ht="24" customHeight="1" x14ac:dyDescent="0.3">
      <c r="A145" s="18">
        <v>136</v>
      </c>
      <c r="B145" s="19" t="s">
        <v>930</v>
      </c>
      <c r="C145" s="18">
        <v>0</v>
      </c>
      <c r="D145" s="20" t="s">
        <v>11</v>
      </c>
      <c r="E145" s="21">
        <v>0</v>
      </c>
      <c r="F145" s="22"/>
      <c r="G145" s="23"/>
      <c r="H145" s="24"/>
    </row>
    <row r="146" spans="1:8" ht="24" customHeight="1" x14ac:dyDescent="0.3">
      <c r="A146" s="18">
        <v>137</v>
      </c>
      <c r="B146" s="19" t="s">
        <v>931</v>
      </c>
      <c r="C146" s="18">
        <v>0</v>
      </c>
      <c r="D146" s="20" t="s">
        <v>11</v>
      </c>
      <c r="E146" s="21">
        <v>0</v>
      </c>
      <c r="F146" s="22"/>
      <c r="G146" s="23"/>
      <c r="H146" s="24"/>
    </row>
    <row r="147" spans="1:8" ht="24" customHeight="1" x14ac:dyDescent="0.3">
      <c r="A147" s="18">
        <v>138</v>
      </c>
      <c r="B147" s="19" t="s">
        <v>932</v>
      </c>
      <c r="C147" s="18">
        <v>0</v>
      </c>
      <c r="D147" s="20" t="s">
        <v>11</v>
      </c>
      <c r="E147" s="21">
        <v>0</v>
      </c>
      <c r="F147" s="22"/>
      <c r="G147" s="23"/>
      <c r="H147" s="24"/>
    </row>
    <row r="148" spans="1:8" ht="24" customHeight="1" x14ac:dyDescent="0.3">
      <c r="A148" s="18">
        <v>139</v>
      </c>
      <c r="B148" s="19" t="s">
        <v>933</v>
      </c>
      <c r="C148" s="18">
        <v>0</v>
      </c>
      <c r="D148" s="20" t="s">
        <v>11</v>
      </c>
      <c r="E148" s="21">
        <v>0</v>
      </c>
      <c r="F148" s="22"/>
      <c r="G148" s="23"/>
      <c r="H148" s="24"/>
    </row>
    <row r="149" spans="1:8" ht="24" customHeight="1" x14ac:dyDescent="0.3">
      <c r="A149" s="18">
        <v>140</v>
      </c>
      <c r="B149" s="19" t="s">
        <v>934</v>
      </c>
      <c r="C149" s="18">
        <v>0</v>
      </c>
      <c r="D149" s="20" t="s">
        <v>11</v>
      </c>
      <c r="E149" s="21">
        <v>0</v>
      </c>
      <c r="F149" s="22"/>
      <c r="G149" s="23"/>
      <c r="H149" s="24"/>
    </row>
    <row r="150" spans="1:8" ht="24" customHeight="1" x14ac:dyDescent="0.3">
      <c r="A150" s="18">
        <v>141</v>
      </c>
      <c r="B150" s="19" t="s">
        <v>935</v>
      </c>
      <c r="C150" s="18">
        <v>0</v>
      </c>
      <c r="D150" s="20" t="s">
        <v>11</v>
      </c>
      <c r="E150" s="21">
        <v>0</v>
      </c>
      <c r="F150" s="22"/>
      <c r="G150" s="23"/>
      <c r="H150" s="24"/>
    </row>
    <row r="151" spans="1:8" ht="24" customHeight="1" x14ac:dyDescent="0.3">
      <c r="A151" s="18">
        <v>142</v>
      </c>
      <c r="B151" s="19" t="s">
        <v>936</v>
      </c>
      <c r="C151" s="18">
        <v>0</v>
      </c>
      <c r="D151" s="20" t="s">
        <v>11</v>
      </c>
      <c r="E151" s="21">
        <v>0</v>
      </c>
      <c r="F151" s="22"/>
      <c r="G151" s="23"/>
      <c r="H151" s="24"/>
    </row>
    <row r="152" spans="1:8" ht="24" customHeight="1" x14ac:dyDescent="0.3">
      <c r="A152" s="18">
        <v>143</v>
      </c>
      <c r="B152" s="19" t="s">
        <v>937</v>
      </c>
      <c r="C152" s="18">
        <v>0</v>
      </c>
      <c r="D152" s="20" t="s">
        <v>11</v>
      </c>
      <c r="E152" s="21">
        <v>0</v>
      </c>
      <c r="F152" s="22"/>
      <c r="G152" s="23"/>
      <c r="H152" s="24"/>
    </row>
    <row r="153" spans="1:8" ht="24" customHeight="1" x14ac:dyDescent="0.3">
      <c r="A153" s="18">
        <v>144</v>
      </c>
      <c r="B153" s="19" t="s">
        <v>938</v>
      </c>
      <c r="C153" s="18">
        <v>0</v>
      </c>
      <c r="D153" s="20" t="s">
        <v>11</v>
      </c>
      <c r="E153" s="21">
        <v>0</v>
      </c>
      <c r="F153" s="22"/>
      <c r="G153" s="23"/>
      <c r="H153" s="24"/>
    </row>
    <row r="154" spans="1:8" ht="24" customHeight="1" x14ac:dyDescent="0.3">
      <c r="A154" s="18">
        <v>145</v>
      </c>
      <c r="B154" s="19" t="s">
        <v>939</v>
      </c>
      <c r="C154" s="18">
        <v>0</v>
      </c>
      <c r="D154" s="20" t="s">
        <v>11</v>
      </c>
      <c r="E154" s="21">
        <v>0</v>
      </c>
      <c r="F154" s="22"/>
      <c r="G154" s="23"/>
      <c r="H154" s="24"/>
    </row>
    <row r="155" spans="1:8" ht="24" customHeight="1" x14ac:dyDescent="0.3">
      <c r="A155" s="18">
        <v>146</v>
      </c>
      <c r="B155" s="19" t="s">
        <v>940</v>
      </c>
      <c r="C155" s="18">
        <v>0</v>
      </c>
      <c r="D155" s="20" t="s">
        <v>11</v>
      </c>
      <c r="E155" s="21">
        <v>0</v>
      </c>
      <c r="F155" s="22"/>
      <c r="G155" s="23"/>
      <c r="H155" s="24"/>
    </row>
    <row r="156" spans="1:8" ht="24" customHeight="1" x14ac:dyDescent="0.3">
      <c r="A156" s="18">
        <v>147</v>
      </c>
      <c r="B156" s="19" t="s">
        <v>941</v>
      </c>
      <c r="C156" s="18">
        <v>0</v>
      </c>
      <c r="D156" s="20" t="s">
        <v>11</v>
      </c>
      <c r="E156" s="21">
        <v>0</v>
      </c>
      <c r="F156" s="22"/>
      <c r="G156" s="23"/>
      <c r="H156" s="24"/>
    </row>
    <row r="157" spans="1:8" ht="24" customHeight="1" x14ac:dyDescent="0.3">
      <c r="A157" s="18">
        <v>148</v>
      </c>
      <c r="B157" s="19" t="s">
        <v>942</v>
      </c>
      <c r="C157" s="18">
        <v>0</v>
      </c>
      <c r="D157" s="20" t="s">
        <v>11</v>
      </c>
      <c r="E157" s="21">
        <v>0</v>
      </c>
      <c r="F157" s="22"/>
      <c r="G157" s="23"/>
      <c r="H157" s="24"/>
    </row>
    <row r="158" spans="1:8" ht="24" customHeight="1" x14ac:dyDescent="0.3">
      <c r="A158" s="18">
        <v>149</v>
      </c>
      <c r="B158" s="19" t="s">
        <v>943</v>
      </c>
      <c r="C158" s="18">
        <v>0</v>
      </c>
      <c r="D158" s="20" t="s">
        <v>11</v>
      </c>
      <c r="E158" s="21">
        <v>0</v>
      </c>
      <c r="F158" s="22"/>
      <c r="G158" s="23"/>
      <c r="H158" s="24"/>
    </row>
    <row r="159" spans="1:8" ht="24" customHeight="1" x14ac:dyDescent="0.3">
      <c r="A159" s="18">
        <v>150</v>
      </c>
      <c r="B159" s="19" t="s">
        <v>944</v>
      </c>
      <c r="C159" s="18">
        <v>0</v>
      </c>
      <c r="D159" s="20" t="s">
        <v>11</v>
      </c>
      <c r="E159" s="21">
        <v>0</v>
      </c>
      <c r="F159" s="22"/>
      <c r="G159" s="23"/>
      <c r="H159" s="24"/>
    </row>
    <row r="160" spans="1:8" ht="24" customHeight="1" x14ac:dyDescent="0.3">
      <c r="A160" s="18">
        <v>151</v>
      </c>
      <c r="B160" s="19" t="s">
        <v>945</v>
      </c>
      <c r="C160" s="18">
        <v>0</v>
      </c>
      <c r="D160" s="20" t="s">
        <v>11</v>
      </c>
      <c r="E160" s="21">
        <v>0</v>
      </c>
      <c r="F160" s="22"/>
      <c r="G160" s="23"/>
      <c r="H160" s="24"/>
    </row>
    <row r="161" spans="1:8" ht="24" customHeight="1" x14ac:dyDescent="0.3">
      <c r="A161" s="18">
        <v>152</v>
      </c>
      <c r="B161" s="19" t="s">
        <v>946</v>
      </c>
      <c r="C161" s="18">
        <v>0</v>
      </c>
      <c r="D161" s="20" t="s">
        <v>11</v>
      </c>
      <c r="E161" s="21">
        <v>0</v>
      </c>
      <c r="F161" s="22"/>
      <c r="G161" s="23"/>
      <c r="H161" s="24"/>
    </row>
    <row r="162" spans="1:8" ht="24" customHeight="1" x14ac:dyDescent="0.3">
      <c r="A162" s="18">
        <v>153</v>
      </c>
      <c r="B162" s="19" t="s">
        <v>947</v>
      </c>
      <c r="C162" s="18">
        <v>0</v>
      </c>
      <c r="D162" s="20" t="s">
        <v>11</v>
      </c>
      <c r="E162" s="21">
        <v>0</v>
      </c>
      <c r="F162" s="22"/>
      <c r="G162" s="23"/>
      <c r="H162" s="24"/>
    </row>
    <row r="163" spans="1:8" ht="24" customHeight="1" x14ac:dyDescent="0.3">
      <c r="A163" s="18">
        <v>154</v>
      </c>
      <c r="B163" s="19" t="s">
        <v>948</v>
      </c>
      <c r="C163" s="18">
        <v>0</v>
      </c>
      <c r="D163" s="20" t="s">
        <v>11</v>
      </c>
      <c r="E163" s="21">
        <v>0</v>
      </c>
      <c r="F163" s="22"/>
      <c r="G163" s="23"/>
      <c r="H163" s="24"/>
    </row>
    <row r="164" spans="1:8" ht="24" customHeight="1" x14ac:dyDescent="0.3">
      <c r="A164" s="18">
        <v>155</v>
      </c>
      <c r="B164" s="19" t="s">
        <v>949</v>
      </c>
      <c r="C164" s="18">
        <v>0</v>
      </c>
      <c r="D164" s="20" t="s">
        <v>11</v>
      </c>
      <c r="E164" s="21">
        <v>0</v>
      </c>
      <c r="F164" s="22"/>
      <c r="G164" s="23"/>
      <c r="H164" s="24"/>
    </row>
    <row r="165" spans="1:8" ht="24" customHeight="1" x14ac:dyDescent="0.3">
      <c r="A165" s="18">
        <v>156</v>
      </c>
      <c r="B165" s="19" t="s">
        <v>950</v>
      </c>
      <c r="C165" s="18">
        <v>0</v>
      </c>
      <c r="D165" s="20" t="s">
        <v>11</v>
      </c>
      <c r="E165" s="21">
        <v>0</v>
      </c>
      <c r="F165" s="22"/>
      <c r="G165" s="23"/>
      <c r="H165" s="24"/>
    </row>
    <row r="166" spans="1:8" ht="24" customHeight="1" x14ac:dyDescent="0.3">
      <c r="A166" s="18">
        <v>157</v>
      </c>
      <c r="B166" s="19" t="s">
        <v>951</v>
      </c>
      <c r="C166" s="18">
        <v>0</v>
      </c>
      <c r="D166" s="20" t="s">
        <v>11</v>
      </c>
      <c r="E166" s="21">
        <v>0</v>
      </c>
      <c r="F166" s="22"/>
      <c r="G166" s="23"/>
      <c r="H166" s="24"/>
    </row>
    <row r="167" spans="1:8" ht="24" customHeight="1" x14ac:dyDescent="0.3">
      <c r="A167" s="18">
        <v>158</v>
      </c>
      <c r="B167" s="19" t="s">
        <v>952</v>
      </c>
      <c r="C167" s="18">
        <v>0</v>
      </c>
      <c r="D167" s="20" t="s">
        <v>11</v>
      </c>
      <c r="E167" s="21">
        <v>0</v>
      </c>
      <c r="F167" s="22"/>
      <c r="G167" s="23"/>
      <c r="H167" s="24"/>
    </row>
    <row r="168" spans="1:8" ht="24" customHeight="1" x14ac:dyDescent="0.3">
      <c r="A168" s="18">
        <v>159</v>
      </c>
      <c r="B168" s="19" t="s">
        <v>953</v>
      </c>
      <c r="C168" s="18">
        <v>0</v>
      </c>
      <c r="D168" s="20" t="s">
        <v>11</v>
      </c>
      <c r="E168" s="21">
        <v>0</v>
      </c>
      <c r="F168" s="22"/>
      <c r="G168" s="23"/>
      <c r="H168" s="24"/>
    </row>
    <row r="169" spans="1:8" ht="24" customHeight="1" x14ac:dyDescent="0.3">
      <c r="A169" s="18">
        <v>160</v>
      </c>
      <c r="B169" s="19" t="s">
        <v>954</v>
      </c>
      <c r="C169" s="18">
        <v>0</v>
      </c>
      <c r="D169" s="20" t="s">
        <v>11</v>
      </c>
      <c r="E169" s="21">
        <v>0</v>
      </c>
      <c r="F169" s="22"/>
      <c r="G169" s="23"/>
      <c r="H169" s="24"/>
    </row>
    <row r="170" spans="1:8" ht="24" customHeight="1" x14ac:dyDescent="0.3">
      <c r="A170" s="18">
        <v>161</v>
      </c>
      <c r="B170" s="19" t="s">
        <v>955</v>
      </c>
      <c r="C170" s="18">
        <v>0</v>
      </c>
      <c r="D170" s="20" t="s">
        <v>11</v>
      </c>
      <c r="E170" s="21">
        <v>0</v>
      </c>
      <c r="F170" s="22"/>
      <c r="G170" s="23"/>
      <c r="H170" s="24"/>
    </row>
    <row r="171" spans="1:8" ht="24" customHeight="1" x14ac:dyDescent="0.3">
      <c r="A171" s="18">
        <v>162</v>
      </c>
      <c r="B171" s="19" t="s">
        <v>956</v>
      </c>
      <c r="C171" s="18">
        <v>0</v>
      </c>
      <c r="D171" s="20" t="s">
        <v>11</v>
      </c>
      <c r="E171" s="21">
        <v>0</v>
      </c>
      <c r="F171" s="22"/>
      <c r="G171" s="23"/>
      <c r="H171" s="24"/>
    </row>
    <row r="172" spans="1:8" ht="24" customHeight="1" x14ac:dyDescent="0.3">
      <c r="A172" s="18">
        <v>163</v>
      </c>
      <c r="B172" s="19" t="s">
        <v>957</v>
      </c>
      <c r="C172" s="18">
        <v>0</v>
      </c>
      <c r="D172" s="20" t="s">
        <v>11</v>
      </c>
      <c r="E172" s="21">
        <v>0</v>
      </c>
      <c r="F172" s="22"/>
      <c r="G172" s="23"/>
      <c r="H172" s="24"/>
    </row>
    <row r="173" spans="1:8" ht="24" customHeight="1" x14ac:dyDescent="0.3">
      <c r="A173" s="18">
        <v>164</v>
      </c>
      <c r="B173" s="19" t="s">
        <v>958</v>
      </c>
      <c r="C173" s="18">
        <v>0</v>
      </c>
      <c r="D173" s="20" t="s">
        <v>11</v>
      </c>
      <c r="E173" s="21">
        <v>0</v>
      </c>
      <c r="F173" s="22"/>
      <c r="G173" s="23"/>
      <c r="H173" s="24"/>
    </row>
    <row r="174" spans="1:8" ht="24" customHeight="1" x14ac:dyDescent="0.3">
      <c r="A174" s="18">
        <v>165</v>
      </c>
      <c r="B174" s="19" t="s">
        <v>959</v>
      </c>
      <c r="C174" s="18">
        <v>0</v>
      </c>
      <c r="D174" s="20" t="s">
        <v>11</v>
      </c>
      <c r="E174" s="21">
        <v>0</v>
      </c>
      <c r="F174" s="22"/>
      <c r="G174" s="23"/>
      <c r="H174" s="24"/>
    </row>
    <row r="175" spans="1:8" ht="24" customHeight="1" x14ac:dyDescent="0.3">
      <c r="A175" s="18">
        <v>166</v>
      </c>
      <c r="B175" s="19" t="s">
        <v>960</v>
      </c>
      <c r="C175" s="18">
        <v>0</v>
      </c>
      <c r="D175" s="20" t="s">
        <v>11</v>
      </c>
      <c r="E175" s="21">
        <v>0</v>
      </c>
      <c r="F175" s="22"/>
      <c r="G175" s="23"/>
      <c r="H175" s="24"/>
    </row>
    <row r="176" spans="1:8" ht="24" customHeight="1" x14ac:dyDescent="0.3">
      <c r="A176" s="18">
        <v>167</v>
      </c>
      <c r="B176" s="19" t="s">
        <v>961</v>
      </c>
      <c r="C176" s="18">
        <v>0</v>
      </c>
      <c r="D176" s="20" t="s">
        <v>11</v>
      </c>
      <c r="E176" s="21">
        <v>0</v>
      </c>
      <c r="F176" s="22"/>
      <c r="G176" s="23"/>
      <c r="H176" s="24"/>
    </row>
    <row r="177" spans="1:8" ht="24" customHeight="1" x14ac:dyDescent="0.3">
      <c r="A177" s="18">
        <v>168</v>
      </c>
      <c r="B177" s="19" t="s">
        <v>962</v>
      </c>
      <c r="C177" s="18">
        <v>0</v>
      </c>
      <c r="D177" s="20" t="s">
        <v>11</v>
      </c>
      <c r="E177" s="21">
        <v>0</v>
      </c>
      <c r="F177" s="22"/>
      <c r="G177" s="23"/>
      <c r="H177" s="24"/>
    </row>
    <row r="178" spans="1:8" ht="24" customHeight="1" x14ac:dyDescent="0.3">
      <c r="A178" s="18">
        <v>169</v>
      </c>
      <c r="B178" s="19" t="s">
        <v>963</v>
      </c>
      <c r="C178" s="18">
        <v>0</v>
      </c>
      <c r="D178" s="20" t="s">
        <v>11</v>
      </c>
      <c r="E178" s="21">
        <v>0</v>
      </c>
      <c r="F178" s="22"/>
      <c r="G178" s="23"/>
      <c r="H178" s="24"/>
    </row>
    <row r="179" spans="1:8" ht="24" customHeight="1" x14ac:dyDescent="0.3">
      <c r="A179" s="18">
        <v>170</v>
      </c>
      <c r="B179" s="19" t="s">
        <v>964</v>
      </c>
      <c r="C179" s="18">
        <v>0</v>
      </c>
      <c r="D179" s="20" t="s">
        <v>11</v>
      </c>
      <c r="E179" s="21">
        <v>0</v>
      </c>
      <c r="F179" s="22"/>
      <c r="G179" s="23"/>
      <c r="H179" s="24"/>
    </row>
    <row r="180" spans="1:8" ht="24" customHeight="1" x14ac:dyDescent="0.3">
      <c r="A180" s="18">
        <v>171</v>
      </c>
      <c r="B180" s="19" t="s">
        <v>965</v>
      </c>
      <c r="C180" s="18">
        <v>0</v>
      </c>
      <c r="D180" s="20" t="s">
        <v>11</v>
      </c>
      <c r="E180" s="21">
        <v>0</v>
      </c>
      <c r="F180" s="22"/>
      <c r="G180" s="23"/>
      <c r="H180" s="24"/>
    </row>
    <row r="181" spans="1:8" ht="24" customHeight="1" x14ac:dyDescent="0.3">
      <c r="A181" s="18">
        <v>172</v>
      </c>
      <c r="B181" s="19" t="s">
        <v>966</v>
      </c>
      <c r="C181" s="18">
        <v>0</v>
      </c>
      <c r="D181" s="20" t="s">
        <v>11</v>
      </c>
      <c r="E181" s="21">
        <v>0</v>
      </c>
      <c r="F181" s="22"/>
      <c r="G181" s="23"/>
      <c r="H181" s="24"/>
    </row>
    <row r="182" spans="1:8" ht="24" customHeight="1" x14ac:dyDescent="0.3">
      <c r="A182" s="18">
        <v>173</v>
      </c>
      <c r="B182" s="19" t="s">
        <v>967</v>
      </c>
      <c r="C182" s="18">
        <v>0</v>
      </c>
      <c r="D182" s="20" t="s">
        <v>11</v>
      </c>
      <c r="E182" s="21">
        <v>0</v>
      </c>
      <c r="F182" s="22"/>
      <c r="G182" s="23"/>
      <c r="H182" s="24"/>
    </row>
    <row r="183" spans="1:8" ht="24" customHeight="1" x14ac:dyDescent="0.3">
      <c r="A183" s="18">
        <v>174</v>
      </c>
      <c r="B183" s="19" t="s">
        <v>968</v>
      </c>
      <c r="C183" s="18">
        <v>0</v>
      </c>
      <c r="D183" s="20" t="s">
        <v>11</v>
      </c>
      <c r="E183" s="21">
        <v>0</v>
      </c>
      <c r="F183" s="22"/>
      <c r="G183" s="23"/>
      <c r="H183" s="24"/>
    </row>
    <row r="184" spans="1:8" ht="24" customHeight="1" x14ac:dyDescent="0.3">
      <c r="A184" s="18">
        <v>175</v>
      </c>
      <c r="B184" s="19" t="s">
        <v>969</v>
      </c>
      <c r="C184" s="18">
        <v>0</v>
      </c>
      <c r="D184" s="20" t="s">
        <v>11</v>
      </c>
      <c r="E184" s="21">
        <v>0</v>
      </c>
      <c r="F184" s="22"/>
      <c r="G184" s="23"/>
      <c r="H184" s="24"/>
    </row>
    <row r="185" spans="1:8" ht="24" customHeight="1" x14ac:dyDescent="0.3">
      <c r="A185" s="18">
        <v>176</v>
      </c>
      <c r="B185" s="19" t="s">
        <v>970</v>
      </c>
      <c r="C185" s="18">
        <v>0</v>
      </c>
      <c r="D185" s="20" t="s">
        <v>11</v>
      </c>
      <c r="E185" s="21">
        <v>0</v>
      </c>
      <c r="F185" s="22"/>
      <c r="G185" s="23"/>
      <c r="H185" s="24"/>
    </row>
    <row r="186" spans="1:8" ht="24" customHeight="1" x14ac:dyDescent="0.3">
      <c r="A186" s="18">
        <v>177</v>
      </c>
      <c r="B186" s="19" t="s">
        <v>971</v>
      </c>
      <c r="C186" s="18">
        <v>0</v>
      </c>
      <c r="D186" s="20" t="s">
        <v>11</v>
      </c>
      <c r="E186" s="21">
        <v>0</v>
      </c>
      <c r="F186" s="22"/>
      <c r="G186" s="23"/>
      <c r="H186" s="24"/>
    </row>
    <row r="187" spans="1:8" ht="24" customHeight="1" x14ac:dyDescent="0.3">
      <c r="A187" s="18">
        <v>178</v>
      </c>
      <c r="B187" s="19" t="s">
        <v>972</v>
      </c>
      <c r="C187" s="18">
        <v>0</v>
      </c>
      <c r="D187" s="20" t="s">
        <v>11</v>
      </c>
      <c r="E187" s="21">
        <v>0</v>
      </c>
      <c r="F187" s="22"/>
      <c r="G187" s="23"/>
      <c r="H187" s="24"/>
    </row>
    <row r="188" spans="1:8" ht="24" customHeight="1" x14ac:dyDescent="0.3">
      <c r="A188" s="18">
        <v>179</v>
      </c>
      <c r="B188" s="19" t="s">
        <v>973</v>
      </c>
      <c r="C188" s="18">
        <v>0</v>
      </c>
      <c r="D188" s="20" t="s">
        <v>11</v>
      </c>
      <c r="E188" s="21">
        <v>0</v>
      </c>
      <c r="F188" s="22"/>
      <c r="G188" s="23"/>
      <c r="H188" s="24"/>
    </row>
    <row r="189" spans="1:8" ht="24" customHeight="1" x14ac:dyDescent="0.3">
      <c r="A189" s="18">
        <v>180</v>
      </c>
      <c r="B189" s="19" t="s">
        <v>974</v>
      </c>
      <c r="C189" s="18">
        <v>0</v>
      </c>
      <c r="D189" s="20" t="s">
        <v>11</v>
      </c>
      <c r="E189" s="21">
        <v>0</v>
      </c>
      <c r="F189" s="22"/>
      <c r="G189" s="23"/>
      <c r="H189" s="24"/>
    </row>
    <row r="190" spans="1:8" ht="24" customHeight="1" x14ac:dyDescent="0.3">
      <c r="A190" s="18">
        <v>181</v>
      </c>
      <c r="B190" s="19" t="s">
        <v>975</v>
      </c>
      <c r="C190" s="18">
        <v>0</v>
      </c>
      <c r="D190" s="20" t="s">
        <v>11</v>
      </c>
      <c r="E190" s="21">
        <v>0</v>
      </c>
      <c r="F190" s="22"/>
      <c r="G190" s="23"/>
      <c r="H190" s="24"/>
    </row>
    <row r="191" spans="1:8" ht="24" customHeight="1" x14ac:dyDescent="0.3">
      <c r="A191" s="18">
        <v>182</v>
      </c>
      <c r="B191" s="19" t="s">
        <v>976</v>
      </c>
      <c r="C191" s="18">
        <v>0</v>
      </c>
      <c r="D191" s="20" t="s">
        <v>11</v>
      </c>
      <c r="E191" s="21">
        <v>0</v>
      </c>
      <c r="F191" s="22"/>
      <c r="G191" s="23"/>
      <c r="H191" s="24"/>
    </row>
    <row r="192" spans="1:8" ht="24" customHeight="1" x14ac:dyDescent="0.3">
      <c r="A192" s="18">
        <v>183</v>
      </c>
      <c r="B192" s="19" t="s">
        <v>977</v>
      </c>
      <c r="C192" s="18">
        <v>0</v>
      </c>
      <c r="D192" s="20" t="s">
        <v>11</v>
      </c>
      <c r="E192" s="21">
        <v>0</v>
      </c>
      <c r="F192" s="22"/>
      <c r="G192" s="23"/>
      <c r="H192" s="24"/>
    </row>
    <row r="193" spans="1:8" ht="24" customHeight="1" x14ac:dyDescent="0.3">
      <c r="A193" s="18">
        <v>184</v>
      </c>
      <c r="B193" s="19" t="s">
        <v>978</v>
      </c>
      <c r="C193" s="18">
        <v>0</v>
      </c>
      <c r="D193" s="20" t="s">
        <v>11</v>
      </c>
      <c r="E193" s="21">
        <v>0</v>
      </c>
      <c r="F193" s="22"/>
      <c r="G193" s="23"/>
      <c r="H193" s="24"/>
    </row>
    <row r="194" spans="1:8" ht="24" customHeight="1" x14ac:dyDescent="0.3">
      <c r="A194" s="18">
        <v>185</v>
      </c>
      <c r="B194" s="19" t="s">
        <v>979</v>
      </c>
      <c r="C194" s="18">
        <v>0</v>
      </c>
      <c r="D194" s="20" t="s">
        <v>11</v>
      </c>
      <c r="E194" s="21">
        <v>0</v>
      </c>
      <c r="F194" s="22"/>
      <c r="G194" s="23"/>
      <c r="H194" s="24"/>
    </row>
    <row r="195" spans="1:8" ht="24" customHeight="1" x14ac:dyDescent="0.3">
      <c r="A195" s="18">
        <v>186</v>
      </c>
      <c r="B195" s="19" t="s">
        <v>980</v>
      </c>
      <c r="C195" s="18">
        <v>0</v>
      </c>
      <c r="D195" s="20" t="s">
        <v>11</v>
      </c>
      <c r="E195" s="21">
        <v>0</v>
      </c>
      <c r="F195" s="22"/>
      <c r="G195" s="23"/>
      <c r="H195" s="24"/>
    </row>
    <row r="196" spans="1:8" ht="24" customHeight="1" x14ac:dyDescent="0.3">
      <c r="A196" s="18">
        <v>187</v>
      </c>
      <c r="B196" s="19" t="s">
        <v>981</v>
      </c>
      <c r="C196" s="18">
        <v>0</v>
      </c>
      <c r="D196" s="20" t="s">
        <v>11</v>
      </c>
      <c r="E196" s="21">
        <v>0</v>
      </c>
      <c r="F196" s="22"/>
      <c r="G196" s="23"/>
      <c r="H196" s="24"/>
    </row>
    <row r="197" spans="1:8" ht="24" customHeight="1" x14ac:dyDescent="0.3">
      <c r="A197" s="18">
        <v>188</v>
      </c>
      <c r="B197" s="19" t="s">
        <v>982</v>
      </c>
      <c r="C197" s="18">
        <v>0</v>
      </c>
      <c r="D197" s="20" t="s">
        <v>11</v>
      </c>
      <c r="E197" s="21">
        <v>0</v>
      </c>
      <c r="F197" s="22"/>
      <c r="G197" s="23"/>
      <c r="H197" s="24"/>
    </row>
    <row r="198" spans="1:8" ht="24" customHeight="1" x14ac:dyDescent="0.3">
      <c r="A198" s="18">
        <v>189</v>
      </c>
      <c r="B198" s="19" t="s">
        <v>983</v>
      </c>
      <c r="C198" s="18">
        <v>0</v>
      </c>
      <c r="D198" s="20" t="s">
        <v>11</v>
      </c>
      <c r="E198" s="21">
        <v>0</v>
      </c>
      <c r="F198" s="22"/>
      <c r="G198" s="23"/>
      <c r="H198" s="24"/>
    </row>
    <row r="199" spans="1:8" ht="24" customHeight="1" x14ac:dyDescent="0.3">
      <c r="A199" s="18">
        <v>190</v>
      </c>
      <c r="B199" s="19" t="s">
        <v>984</v>
      </c>
      <c r="C199" s="18">
        <v>0</v>
      </c>
      <c r="D199" s="20" t="s">
        <v>11</v>
      </c>
      <c r="E199" s="21">
        <v>0</v>
      </c>
      <c r="F199" s="22"/>
      <c r="G199" s="23"/>
      <c r="H199" s="24"/>
    </row>
    <row r="200" spans="1:8" ht="24" customHeight="1" x14ac:dyDescent="0.3">
      <c r="A200" s="18">
        <v>191</v>
      </c>
      <c r="B200" s="19" t="s">
        <v>985</v>
      </c>
      <c r="C200" s="18">
        <v>0</v>
      </c>
      <c r="D200" s="20" t="s">
        <v>11</v>
      </c>
      <c r="E200" s="21">
        <v>0</v>
      </c>
      <c r="F200" s="22"/>
      <c r="G200" s="23"/>
      <c r="H200" s="24"/>
    </row>
    <row r="201" spans="1:8" ht="24" customHeight="1" x14ac:dyDescent="0.3">
      <c r="A201" s="18">
        <v>192</v>
      </c>
      <c r="B201" s="19" t="s">
        <v>986</v>
      </c>
      <c r="C201" s="18">
        <v>0</v>
      </c>
      <c r="D201" s="20" t="s">
        <v>11</v>
      </c>
      <c r="E201" s="21">
        <v>0</v>
      </c>
      <c r="F201" s="22"/>
      <c r="G201" s="23"/>
      <c r="H201" s="24"/>
    </row>
    <row r="202" spans="1:8" ht="24" customHeight="1" x14ac:dyDescent="0.3">
      <c r="A202" s="18">
        <v>193</v>
      </c>
      <c r="B202" s="19" t="s">
        <v>987</v>
      </c>
      <c r="C202" s="18">
        <v>0</v>
      </c>
      <c r="D202" s="20" t="s">
        <v>11</v>
      </c>
      <c r="E202" s="21">
        <v>0</v>
      </c>
      <c r="F202" s="22"/>
      <c r="G202" s="23"/>
      <c r="H202" s="24"/>
    </row>
    <row r="203" spans="1:8" ht="24" customHeight="1" x14ac:dyDescent="0.3">
      <c r="A203" s="18">
        <v>194</v>
      </c>
      <c r="B203" s="19" t="s">
        <v>988</v>
      </c>
      <c r="C203" s="18">
        <v>0</v>
      </c>
      <c r="D203" s="20" t="s">
        <v>11</v>
      </c>
      <c r="E203" s="21">
        <v>0</v>
      </c>
      <c r="F203" s="22"/>
      <c r="G203" s="23"/>
      <c r="H203" s="24"/>
    </row>
    <row r="204" spans="1:8" ht="24" customHeight="1" x14ac:dyDescent="0.3">
      <c r="A204" s="18">
        <v>195</v>
      </c>
      <c r="B204" s="19" t="s">
        <v>989</v>
      </c>
      <c r="C204" s="18">
        <v>0</v>
      </c>
      <c r="D204" s="20" t="s">
        <v>11</v>
      </c>
      <c r="E204" s="21">
        <v>0</v>
      </c>
      <c r="F204" s="22"/>
      <c r="G204" s="23"/>
      <c r="H204" s="24"/>
    </row>
    <row r="205" spans="1:8" ht="24" customHeight="1" x14ac:dyDescent="0.3">
      <c r="A205" s="18">
        <v>196</v>
      </c>
      <c r="B205" s="19" t="s">
        <v>990</v>
      </c>
      <c r="C205" s="18">
        <v>0</v>
      </c>
      <c r="D205" s="20" t="s">
        <v>11</v>
      </c>
      <c r="E205" s="21">
        <v>0</v>
      </c>
      <c r="F205" s="22"/>
      <c r="G205" s="23"/>
      <c r="H205" s="24"/>
    </row>
    <row r="206" spans="1:8" ht="24" customHeight="1" x14ac:dyDescent="0.3">
      <c r="A206" s="18">
        <v>197</v>
      </c>
      <c r="B206" s="19" t="s">
        <v>991</v>
      </c>
      <c r="C206" s="18">
        <v>0</v>
      </c>
      <c r="D206" s="20" t="s">
        <v>11</v>
      </c>
      <c r="E206" s="21">
        <v>0</v>
      </c>
      <c r="F206" s="22"/>
      <c r="G206" s="23"/>
      <c r="H206" s="24"/>
    </row>
    <row r="207" spans="1:8" ht="24" customHeight="1" x14ac:dyDescent="0.3">
      <c r="A207" s="18">
        <v>198</v>
      </c>
      <c r="B207" s="19" t="s">
        <v>992</v>
      </c>
      <c r="C207" s="18">
        <v>0</v>
      </c>
      <c r="D207" s="20" t="s">
        <v>11</v>
      </c>
      <c r="E207" s="21">
        <v>0</v>
      </c>
      <c r="F207" s="22"/>
      <c r="G207" s="23"/>
      <c r="H207" s="24"/>
    </row>
    <row r="208" spans="1:8" ht="24" customHeight="1" x14ac:dyDescent="0.3">
      <c r="A208" s="18">
        <v>199</v>
      </c>
      <c r="B208" s="19" t="s">
        <v>993</v>
      </c>
      <c r="C208" s="18">
        <v>0</v>
      </c>
      <c r="D208" s="20" t="s">
        <v>11</v>
      </c>
      <c r="E208" s="21">
        <v>0</v>
      </c>
      <c r="F208" s="22"/>
      <c r="G208" s="23"/>
      <c r="H208" s="24"/>
    </row>
    <row r="209" spans="1:8" ht="24" customHeight="1" x14ac:dyDescent="0.3">
      <c r="A209" s="18">
        <v>200</v>
      </c>
      <c r="B209" s="19" t="s">
        <v>994</v>
      </c>
      <c r="C209" s="18">
        <v>0</v>
      </c>
      <c r="D209" s="20" t="s">
        <v>11</v>
      </c>
      <c r="E209" s="21">
        <v>0</v>
      </c>
      <c r="F209" s="22"/>
      <c r="G209" s="23"/>
      <c r="H209" s="24"/>
    </row>
    <row r="210" spans="1:8" ht="24" customHeight="1" x14ac:dyDescent="0.3">
      <c r="A210" s="18">
        <v>201</v>
      </c>
      <c r="B210" s="19" t="s">
        <v>995</v>
      </c>
      <c r="C210" s="18">
        <v>0</v>
      </c>
      <c r="D210" s="20" t="s">
        <v>11</v>
      </c>
      <c r="E210" s="21">
        <v>0</v>
      </c>
      <c r="F210" s="22"/>
      <c r="G210" s="23"/>
      <c r="H210" s="24"/>
    </row>
    <row r="211" spans="1:8" ht="24" customHeight="1" x14ac:dyDescent="0.3">
      <c r="A211" s="18">
        <v>202</v>
      </c>
      <c r="B211" s="19" t="s">
        <v>996</v>
      </c>
      <c r="C211" s="18">
        <v>0</v>
      </c>
      <c r="D211" s="20" t="s">
        <v>11</v>
      </c>
      <c r="E211" s="21">
        <v>0</v>
      </c>
      <c r="F211" s="22"/>
      <c r="G211" s="23"/>
      <c r="H211" s="24"/>
    </row>
    <row r="212" spans="1:8" ht="24" customHeight="1" x14ac:dyDescent="0.3">
      <c r="A212" s="18">
        <v>203</v>
      </c>
      <c r="B212" s="19" t="s">
        <v>997</v>
      </c>
      <c r="C212" s="18">
        <v>0</v>
      </c>
      <c r="D212" s="20" t="s">
        <v>11</v>
      </c>
      <c r="E212" s="21">
        <v>0</v>
      </c>
      <c r="F212" s="22"/>
      <c r="G212" s="23"/>
      <c r="H212" s="24"/>
    </row>
    <row r="213" spans="1:8" ht="24" customHeight="1" x14ac:dyDescent="0.3">
      <c r="A213" s="18">
        <v>204</v>
      </c>
      <c r="B213" s="19" t="s">
        <v>998</v>
      </c>
      <c r="C213" s="18">
        <v>0</v>
      </c>
      <c r="D213" s="20" t="s">
        <v>11</v>
      </c>
      <c r="E213" s="21">
        <v>0</v>
      </c>
      <c r="F213" s="22"/>
      <c r="G213" s="23"/>
      <c r="H213" s="24"/>
    </row>
    <row r="214" spans="1:8" ht="24" customHeight="1" x14ac:dyDescent="0.3">
      <c r="A214" s="18">
        <v>205</v>
      </c>
      <c r="B214" s="19" t="s">
        <v>999</v>
      </c>
      <c r="C214" s="18">
        <v>0</v>
      </c>
      <c r="D214" s="20" t="s">
        <v>11</v>
      </c>
      <c r="E214" s="21">
        <v>0</v>
      </c>
      <c r="F214" s="22"/>
      <c r="G214" s="23"/>
      <c r="H214" s="24"/>
    </row>
    <row r="215" spans="1:8" ht="24" customHeight="1" x14ac:dyDescent="0.3">
      <c r="A215" s="18">
        <v>206</v>
      </c>
      <c r="B215" s="19" t="s">
        <v>1000</v>
      </c>
      <c r="C215" s="18">
        <v>0</v>
      </c>
      <c r="D215" s="20" t="s">
        <v>11</v>
      </c>
      <c r="E215" s="21">
        <v>0</v>
      </c>
      <c r="F215" s="22"/>
      <c r="G215" s="23"/>
      <c r="H215" s="24"/>
    </row>
    <row r="216" spans="1:8" ht="24" customHeight="1" x14ac:dyDescent="0.3">
      <c r="A216" s="18">
        <v>207</v>
      </c>
      <c r="B216" s="19" t="s">
        <v>1001</v>
      </c>
      <c r="C216" s="18">
        <v>0</v>
      </c>
      <c r="D216" s="20" t="s">
        <v>11</v>
      </c>
      <c r="E216" s="21">
        <v>0</v>
      </c>
      <c r="F216" s="22"/>
      <c r="G216" s="23"/>
      <c r="H216" s="24"/>
    </row>
    <row r="217" spans="1:8" ht="24" customHeight="1" x14ac:dyDescent="0.3">
      <c r="A217" s="18">
        <v>208</v>
      </c>
      <c r="B217" s="19" t="s">
        <v>1002</v>
      </c>
      <c r="C217" s="18">
        <v>0</v>
      </c>
      <c r="D217" s="20" t="s">
        <v>11</v>
      </c>
      <c r="E217" s="21">
        <v>0</v>
      </c>
      <c r="F217" s="22"/>
      <c r="G217" s="23"/>
      <c r="H217" s="24"/>
    </row>
    <row r="218" spans="1:8" ht="24" customHeight="1" x14ac:dyDescent="0.3">
      <c r="A218" s="18">
        <v>209</v>
      </c>
      <c r="B218" s="19" t="s">
        <v>1003</v>
      </c>
      <c r="C218" s="18">
        <v>0</v>
      </c>
      <c r="D218" s="20" t="s">
        <v>11</v>
      </c>
      <c r="E218" s="21">
        <v>0</v>
      </c>
      <c r="F218" s="22"/>
      <c r="G218" s="23"/>
      <c r="H218" s="24"/>
    </row>
    <row r="219" spans="1:8" ht="24" customHeight="1" x14ac:dyDescent="0.3">
      <c r="A219" s="18">
        <v>210</v>
      </c>
      <c r="B219" s="19" t="s">
        <v>1004</v>
      </c>
      <c r="C219" s="18">
        <v>0</v>
      </c>
      <c r="D219" s="20" t="s">
        <v>11</v>
      </c>
      <c r="E219" s="21">
        <v>0</v>
      </c>
      <c r="F219" s="22"/>
      <c r="G219" s="23"/>
      <c r="H219" s="24"/>
    </row>
    <row r="220" spans="1:8" ht="24" customHeight="1" x14ac:dyDescent="0.3">
      <c r="A220" s="18">
        <v>211</v>
      </c>
      <c r="B220" s="19" t="s">
        <v>1005</v>
      </c>
      <c r="C220" s="18">
        <v>0</v>
      </c>
      <c r="D220" s="20" t="s">
        <v>11</v>
      </c>
      <c r="E220" s="21">
        <v>0</v>
      </c>
      <c r="F220" s="22"/>
      <c r="G220" s="23"/>
      <c r="H220" s="24"/>
    </row>
    <row r="221" spans="1:8" ht="24" customHeight="1" x14ac:dyDescent="0.3">
      <c r="A221" s="18">
        <v>212</v>
      </c>
      <c r="B221" s="19" t="s">
        <v>1006</v>
      </c>
      <c r="C221" s="18">
        <v>0</v>
      </c>
      <c r="D221" s="20" t="s">
        <v>11</v>
      </c>
      <c r="E221" s="21">
        <v>0</v>
      </c>
      <c r="F221" s="22"/>
      <c r="G221" s="23"/>
      <c r="H221" s="24"/>
    </row>
    <row r="222" spans="1:8" ht="24" customHeight="1" x14ac:dyDescent="0.3">
      <c r="A222" s="18">
        <v>213</v>
      </c>
      <c r="B222" s="19" t="s">
        <v>1007</v>
      </c>
      <c r="C222" s="18">
        <v>0</v>
      </c>
      <c r="D222" s="20" t="s">
        <v>11</v>
      </c>
      <c r="E222" s="21">
        <v>0</v>
      </c>
      <c r="F222" s="22"/>
      <c r="G222" s="23"/>
      <c r="H222" s="24"/>
    </row>
    <row r="223" spans="1:8" ht="24" customHeight="1" x14ac:dyDescent="0.3">
      <c r="A223" s="18">
        <v>214</v>
      </c>
      <c r="B223" s="19" t="s">
        <v>1008</v>
      </c>
      <c r="C223" s="18">
        <v>0</v>
      </c>
      <c r="D223" s="20" t="s">
        <v>11</v>
      </c>
      <c r="E223" s="21">
        <v>0</v>
      </c>
      <c r="F223" s="22"/>
      <c r="G223" s="23"/>
      <c r="H223" s="24"/>
    </row>
    <row r="224" spans="1:8" ht="24" customHeight="1" x14ac:dyDescent="0.3">
      <c r="A224" s="18">
        <v>215</v>
      </c>
      <c r="B224" s="19" t="s">
        <v>1009</v>
      </c>
      <c r="C224" s="18">
        <v>0</v>
      </c>
      <c r="D224" s="20" t="s">
        <v>11</v>
      </c>
      <c r="E224" s="21">
        <v>0</v>
      </c>
      <c r="F224" s="22"/>
      <c r="G224" s="23"/>
      <c r="H224" s="24"/>
    </row>
    <row r="225" spans="1:8" ht="24" customHeight="1" x14ac:dyDescent="0.3">
      <c r="A225" s="18">
        <v>216</v>
      </c>
      <c r="B225" s="19" t="s">
        <v>1010</v>
      </c>
      <c r="C225" s="18">
        <v>0</v>
      </c>
      <c r="D225" s="20" t="s">
        <v>11</v>
      </c>
      <c r="E225" s="21">
        <v>0</v>
      </c>
      <c r="F225" s="22"/>
      <c r="G225" s="23"/>
      <c r="H225" s="24"/>
    </row>
    <row r="226" spans="1:8" ht="24" customHeight="1" x14ac:dyDescent="0.3">
      <c r="A226" s="18">
        <v>217</v>
      </c>
      <c r="B226" s="19" t="s">
        <v>1011</v>
      </c>
      <c r="C226" s="18">
        <v>0</v>
      </c>
      <c r="D226" s="20" t="s">
        <v>11</v>
      </c>
      <c r="E226" s="21">
        <v>0</v>
      </c>
      <c r="F226" s="22"/>
      <c r="G226" s="23"/>
      <c r="H226" s="24"/>
    </row>
    <row r="227" spans="1:8" ht="24" customHeight="1" x14ac:dyDescent="0.3">
      <c r="A227" s="18">
        <v>218</v>
      </c>
      <c r="B227" s="19" t="s">
        <v>1012</v>
      </c>
      <c r="C227" s="18">
        <v>0</v>
      </c>
      <c r="D227" s="20" t="s">
        <v>11</v>
      </c>
      <c r="E227" s="21">
        <v>0</v>
      </c>
      <c r="F227" s="22"/>
      <c r="G227" s="23"/>
      <c r="H227" s="24"/>
    </row>
    <row r="228" spans="1:8" ht="24" customHeight="1" x14ac:dyDescent="0.3">
      <c r="A228" s="18">
        <v>219</v>
      </c>
      <c r="B228" s="19" t="s">
        <v>1013</v>
      </c>
      <c r="C228" s="18">
        <v>0</v>
      </c>
      <c r="D228" s="20" t="s">
        <v>11</v>
      </c>
      <c r="E228" s="21">
        <v>0</v>
      </c>
      <c r="F228" s="22"/>
      <c r="G228" s="23"/>
      <c r="H228" s="24"/>
    </row>
    <row r="229" spans="1:8" ht="24" customHeight="1" x14ac:dyDescent="0.3">
      <c r="A229" s="18">
        <v>220</v>
      </c>
      <c r="B229" s="19" t="s">
        <v>1014</v>
      </c>
      <c r="C229" s="18">
        <v>0</v>
      </c>
      <c r="D229" s="20" t="s">
        <v>11</v>
      </c>
      <c r="E229" s="21">
        <v>0</v>
      </c>
      <c r="F229" s="22"/>
      <c r="G229" s="23"/>
      <c r="H229" s="24"/>
    </row>
    <row r="230" spans="1:8" ht="24" customHeight="1" x14ac:dyDescent="0.3">
      <c r="A230" s="18">
        <v>221</v>
      </c>
      <c r="B230" s="19" t="s">
        <v>1015</v>
      </c>
      <c r="C230" s="18">
        <v>0</v>
      </c>
      <c r="D230" s="20" t="s">
        <v>11</v>
      </c>
      <c r="E230" s="21">
        <v>0</v>
      </c>
      <c r="F230" s="22"/>
      <c r="G230" s="23"/>
      <c r="H230" s="24"/>
    </row>
    <row r="231" spans="1:8" ht="24" customHeight="1" x14ac:dyDescent="0.3">
      <c r="A231" s="18">
        <v>222</v>
      </c>
      <c r="B231" s="19" t="s">
        <v>1016</v>
      </c>
      <c r="C231" s="18">
        <v>0</v>
      </c>
      <c r="D231" s="20" t="s">
        <v>11</v>
      </c>
      <c r="E231" s="21">
        <v>0</v>
      </c>
      <c r="F231" s="22"/>
      <c r="G231" s="23"/>
      <c r="H231" s="24"/>
    </row>
    <row r="232" spans="1:8" ht="24" customHeight="1" x14ac:dyDescent="0.3">
      <c r="A232" s="18">
        <v>223</v>
      </c>
      <c r="B232" s="19" t="s">
        <v>1017</v>
      </c>
      <c r="C232" s="18">
        <v>0</v>
      </c>
      <c r="D232" s="20" t="s">
        <v>11</v>
      </c>
      <c r="E232" s="21">
        <v>0</v>
      </c>
      <c r="F232" s="22"/>
      <c r="G232" s="23"/>
      <c r="H232" s="24"/>
    </row>
    <row r="233" spans="1:8" ht="24" customHeight="1" x14ac:dyDescent="0.3">
      <c r="A233" s="18">
        <v>224</v>
      </c>
      <c r="B233" s="19" t="s">
        <v>1018</v>
      </c>
      <c r="C233" s="18">
        <v>0</v>
      </c>
      <c r="D233" s="20" t="s">
        <v>11</v>
      </c>
      <c r="E233" s="21">
        <v>0</v>
      </c>
      <c r="F233" s="22"/>
      <c r="G233" s="23"/>
      <c r="H233" s="24"/>
    </row>
    <row r="234" spans="1:8" ht="24" customHeight="1" x14ac:dyDescent="0.3">
      <c r="A234" s="18">
        <v>225</v>
      </c>
      <c r="B234" s="19" t="s">
        <v>1019</v>
      </c>
      <c r="C234" s="18">
        <v>0</v>
      </c>
      <c r="D234" s="20" t="s">
        <v>11</v>
      </c>
      <c r="E234" s="21">
        <v>0</v>
      </c>
      <c r="F234" s="22"/>
      <c r="G234" s="23"/>
      <c r="H234" s="24"/>
    </row>
    <row r="235" spans="1:8" ht="24" customHeight="1" x14ac:dyDescent="0.3">
      <c r="A235" s="18">
        <v>226</v>
      </c>
      <c r="B235" s="19" t="s">
        <v>1020</v>
      </c>
      <c r="C235" s="18">
        <v>0</v>
      </c>
      <c r="D235" s="20" t="s">
        <v>11</v>
      </c>
      <c r="E235" s="21">
        <v>0</v>
      </c>
      <c r="F235" s="22"/>
      <c r="G235" s="23"/>
      <c r="H235" s="24"/>
    </row>
    <row r="236" spans="1:8" ht="24" customHeight="1" x14ac:dyDescent="0.3">
      <c r="A236" s="18">
        <v>227</v>
      </c>
      <c r="B236" s="19" t="s">
        <v>1021</v>
      </c>
      <c r="C236" s="18">
        <v>0</v>
      </c>
      <c r="D236" s="20" t="s">
        <v>11</v>
      </c>
      <c r="E236" s="21">
        <v>0</v>
      </c>
      <c r="F236" s="22"/>
      <c r="G236" s="23"/>
      <c r="H236" s="24"/>
    </row>
    <row r="237" spans="1:8" ht="24" customHeight="1" x14ac:dyDescent="0.3">
      <c r="A237" s="18">
        <v>228</v>
      </c>
      <c r="B237" s="19" t="s">
        <v>1022</v>
      </c>
      <c r="C237" s="18">
        <v>0</v>
      </c>
      <c r="D237" s="20" t="s">
        <v>11</v>
      </c>
      <c r="E237" s="21">
        <v>0</v>
      </c>
      <c r="F237" s="22"/>
      <c r="G237" s="23"/>
      <c r="H237" s="24"/>
    </row>
    <row r="238" spans="1:8" ht="24" customHeight="1" x14ac:dyDescent="0.3">
      <c r="A238" s="18">
        <v>229</v>
      </c>
      <c r="B238" s="19" t="s">
        <v>1023</v>
      </c>
      <c r="C238" s="18">
        <v>0</v>
      </c>
      <c r="D238" s="20" t="s">
        <v>11</v>
      </c>
      <c r="E238" s="21">
        <v>0</v>
      </c>
      <c r="F238" s="22"/>
      <c r="G238" s="23"/>
      <c r="H238" s="24"/>
    </row>
    <row r="239" spans="1:8" ht="24" customHeight="1" x14ac:dyDescent="0.3">
      <c r="A239" s="18">
        <v>230</v>
      </c>
      <c r="B239" s="19" t="s">
        <v>1024</v>
      </c>
      <c r="C239" s="18">
        <v>0</v>
      </c>
      <c r="D239" s="20" t="s">
        <v>11</v>
      </c>
      <c r="E239" s="21">
        <v>0</v>
      </c>
      <c r="F239" s="22"/>
      <c r="G239" s="23"/>
      <c r="H239" s="24"/>
    </row>
    <row r="240" spans="1:8" ht="24" customHeight="1" x14ac:dyDescent="0.3">
      <c r="A240" s="18">
        <v>231</v>
      </c>
      <c r="B240" s="19" t="s">
        <v>1025</v>
      </c>
      <c r="C240" s="18">
        <v>0</v>
      </c>
      <c r="D240" s="20" t="s">
        <v>11</v>
      </c>
      <c r="E240" s="21">
        <v>0</v>
      </c>
      <c r="F240" s="22"/>
      <c r="G240" s="23"/>
      <c r="H240" s="24"/>
    </row>
    <row r="241" spans="1:8" ht="24" customHeight="1" x14ac:dyDescent="0.3">
      <c r="A241" s="18">
        <v>232</v>
      </c>
      <c r="B241" s="19" t="s">
        <v>1026</v>
      </c>
      <c r="C241" s="18">
        <v>0</v>
      </c>
      <c r="D241" s="20" t="s">
        <v>11</v>
      </c>
      <c r="E241" s="21">
        <v>0</v>
      </c>
      <c r="F241" s="22"/>
      <c r="G241" s="23"/>
      <c r="H241" s="24"/>
    </row>
    <row r="242" spans="1:8" ht="24" customHeight="1" x14ac:dyDescent="0.3">
      <c r="A242" s="18">
        <v>233</v>
      </c>
      <c r="B242" s="19" t="s">
        <v>1027</v>
      </c>
      <c r="C242" s="18">
        <v>0</v>
      </c>
      <c r="D242" s="20" t="s">
        <v>11</v>
      </c>
      <c r="E242" s="21">
        <v>0</v>
      </c>
      <c r="F242" s="22"/>
      <c r="G242" s="23"/>
      <c r="H242" s="24"/>
    </row>
    <row r="243" spans="1:8" ht="24" customHeight="1" x14ac:dyDescent="0.3">
      <c r="A243" s="18">
        <v>234</v>
      </c>
      <c r="B243" s="19" t="s">
        <v>1028</v>
      </c>
      <c r="C243" s="18">
        <v>0</v>
      </c>
      <c r="D243" s="20" t="s">
        <v>11</v>
      </c>
      <c r="E243" s="21">
        <v>0</v>
      </c>
      <c r="F243" s="22"/>
      <c r="G243" s="23"/>
      <c r="H243" s="24"/>
    </row>
    <row r="244" spans="1:8" ht="24" customHeight="1" x14ac:dyDescent="0.3">
      <c r="A244" s="18">
        <v>235</v>
      </c>
      <c r="B244" s="19" t="s">
        <v>1029</v>
      </c>
      <c r="C244" s="18">
        <v>0</v>
      </c>
      <c r="D244" s="20" t="s">
        <v>11</v>
      </c>
      <c r="E244" s="21">
        <v>0</v>
      </c>
      <c r="F244" s="22"/>
      <c r="G244" s="23"/>
      <c r="H244" s="24"/>
    </row>
    <row r="245" spans="1:8" ht="24" customHeight="1" x14ac:dyDescent="0.3">
      <c r="A245" s="18">
        <v>236</v>
      </c>
      <c r="B245" s="19" t="s">
        <v>1030</v>
      </c>
      <c r="C245" s="18">
        <v>0</v>
      </c>
      <c r="D245" s="20" t="s">
        <v>11</v>
      </c>
      <c r="E245" s="21">
        <v>0</v>
      </c>
      <c r="F245" s="22"/>
      <c r="G245" s="23"/>
      <c r="H245" s="24"/>
    </row>
    <row r="246" spans="1:8" ht="24" customHeight="1" x14ac:dyDescent="0.3">
      <c r="A246" s="18">
        <v>237</v>
      </c>
      <c r="B246" s="19" t="s">
        <v>1031</v>
      </c>
      <c r="C246" s="18">
        <v>0</v>
      </c>
      <c r="D246" s="20" t="s">
        <v>11</v>
      </c>
      <c r="E246" s="21">
        <v>0</v>
      </c>
      <c r="F246" s="22"/>
      <c r="G246" s="23"/>
      <c r="H246" s="24"/>
    </row>
    <row r="247" spans="1:8" ht="24" customHeight="1" x14ac:dyDescent="0.3">
      <c r="A247" s="18">
        <v>238</v>
      </c>
      <c r="B247" s="19" t="s">
        <v>1032</v>
      </c>
      <c r="C247" s="18">
        <v>0</v>
      </c>
      <c r="D247" s="20" t="s">
        <v>11</v>
      </c>
      <c r="E247" s="21">
        <v>0</v>
      </c>
      <c r="F247" s="22"/>
      <c r="G247" s="23"/>
      <c r="H247" s="24"/>
    </row>
    <row r="248" spans="1:8" ht="24" customHeight="1" x14ac:dyDescent="0.3">
      <c r="A248" s="18">
        <v>239</v>
      </c>
      <c r="B248" s="19" t="s">
        <v>1033</v>
      </c>
      <c r="C248" s="18">
        <v>0</v>
      </c>
      <c r="D248" s="20" t="s">
        <v>11</v>
      </c>
      <c r="E248" s="21">
        <v>0</v>
      </c>
      <c r="F248" s="22"/>
      <c r="G248" s="23"/>
      <c r="H248" s="24"/>
    </row>
    <row r="249" spans="1:8" ht="24" customHeight="1" x14ac:dyDescent="0.3">
      <c r="A249" s="18">
        <v>240</v>
      </c>
      <c r="B249" s="19" t="s">
        <v>1034</v>
      </c>
      <c r="C249" s="18">
        <v>0</v>
      </c>
      <c r="D249" s="20" t="s">
        <v>11</v>
      </c>
      <c r="E249" s="21">
        <v>0</v>
      </c>
      <c r="F249" s="22"/>
      <c r="G249" s="23"/>
      <c r="H249" s="24"/>
    </row>
    <row r="250" spans="1:8" ht="24" customHeight="1" x14ac:dyDescent="0.3">
      <c r="A250" s="18">
        <v>241</v>
      </c>
      <c r="B250" s="19" t="s">
        <v>1035</v>
      </c>
      <c r="C250" s="18">
        <v>0</v>
      </c>
      <c r="D250" s="20" t="s">
        <v>11</v>
      </c>
      <c r="E250" s="21">
        <v>0</v>
      </c>
      <c r="F250" s="22"/>
      <c r="G250" s="23"/>
      <c r="H250" s="24"/>
    </row>
    <row r="251" spans="1:8" ht="24" customHeight="1" x14ac:dyDescent="0.3">
      <c r="A251" s="18">
        <v>242</v>
      </c>
      <c r="B251" s="19" t="s">
        <v>1036</v>
      </c>
      <c r="C251" s="18">
        <v>0</v>
      </c>
      <c r="D251" s="20" t="s">
        <v>11</v>
      </c>
      <c r="E251" s="21">
        <v>0</v>
      </c>
      <c r="F251" s="22"/>
      <c r="G251" s="23"/>
      <c r="H251" s="24"/>
    </row>
    <row r="252" spans="1:8" ht="24" customHeight="1" x14ac:dyDescent="0.3">
      <c r="A252" s="18">
        <v>243</v>
      </c>
      <c r="B252" s="19" t="s">
        <v>1037</v>
      </c>
      <c r="C252" s="18">
        <v>0</v>
      </c>
      <c r="D252" s="20" t="s">
        <v>11</v>
      </c>
      <c r="E252" s="21">
        <v>0</v>
      </c>
      <c r="F252" s="22"/>
      <c r="G252" s="23"/>
      <c r="H252" s="24"/>
    </row>
    <row r="253" spans="1:8" ht="24" customHeight="1" x14ac:dyDescent="0.3">
      <c r="A253" s="18">
        <v>244</v>
      </c>
      <c r="B253" s="19" t="s">
        <v>1038</v>
      </c>
      <c r="C253" s="18">
        <v>0</v>
      </c>
      <c r="D253" s="20" t="s">
        <v>11</v>
      </c>
      <c r="E253" s="21">
        <v>0</v>
      </c>
      <c r="F253" s="22"/>
      <c r="G253" s="23"/>
      <c r="H253" s="24"/>
    </row>
    <row r="254" spans="1:8" ht="24" customHeight="1" x14ac:dyDescent="0.3">
      <c r="A254" s="18">
        <v>245</v>
      </c>
      <c r="B254" s="19" t="s">
        <v>1039</v>
      </c>
      <c r="C254" s="18">
        <v>0</v>
      </c>
      <c r="D254" s="20" t="s">
        <v>11</v>
      </c>
      <c r="E254" s="21">
        <v>0</v>
      </c>
      <c r="F254" s="22"/>
      <c r="G254" s="23"/>
      <c r="H254" s="24"/>
    </row>
    <row r="255" spans="1:8" ht="24" customHeight="1" x14ac:dyDescent="0.3">
      <c r="A255" s="18">
        <v>246</v>
      </c>
      <c r="B255" s="19" t="s">
        <v>1040</v>
      </c>
      <c r="C255" s="18">
        <v>0</v>
      </c>
      <c r="D255" s="20" t="s">
        <v>11</v>
      </c>
      <c r="E255" s="21">
        <v>0</v>
      </c>
      <c r="F255" s="22"/>
      <c r="G255" s="23"/>
      <c r="H255" s="24"/>
    </row>
    <row r="256" spans="1:8" ht="24" customHeight="1" x14ac:dyDescent="0.3">
      <c r="A256" s="18">
        <v>247</v>
      </c>
      <c r="B256" s="19" t="s">
        <v>1041</v>
      </c>
      <c r="C256" s="18">
        <v>0</v>
      </c>
      <c r="D256" s="20" t="s">
        <v>11</v>
      </c>
      <c r="E256" s="21">
        <v>0</v>
      </c>
      <c r="F256" s="22"/>
      <c r="G256" s="23"/>
      <c r="H256" s="24"/>
    </row>
    <row r="257" spans="1:8" ht="24" customHeight="1" x14ac:dyDescent="0.3">
      <c r="A257" s="18">
        <v>248</v>
      </c>
      <c r="B257" s="19" t="s">
        <v>1042</v>
      </c>
      <c r="C257" s="18">
        <v>0</v>
      </c>
      <c r="D257" s="20" t="s">
        <v>11</v>
      </c>
      <c r="E257" s="21">
        <v>0</v>
      </c>
      <c r="F257" s="22"/>
      <c r="G257" s="23"/>
      <c r="H257" s="24"/>
    </row>
    <row r="258" spans="1:8" ht="24" customHeight="1" x14ac:dyDescent="0.3">
      <c r="A258" s="18">
        <v>249</v>
      </c>
      <c r="B258" s="19" t="s">
        <v>1043</v>
      </c>
      <c r="C258" s="18">
        <v>0</v>
      </c>
      <c r="D258" s="20" t="s">
        <v>11</v>
      </c>
      <c r="E258" s="21">
        <v>0</v>
      </c>
      <c r="F258" s="22"/>
      <c r="G258" s="23"/>
      <c r="H258" s="24"/>
    </row>
    <row r="259" spans="1:8" ht="24" customHeight="1" x14ac:dyDescent="0.3">
      <c r="A259" s="18">
        <v>250</v>
      </c>
      <c r="B259" s="19" t="s">
        <v>1044</v>
      </c>
      <c r="C259" s="18">
        <v>0</v>
      </c>
      <c r="D259" s="20" t="s">
        <v>11</v>
      </c>
      <c r="E259" s="21">
        <v>0</v>
      </c>
      <c r="F259" s="22"/>
      <c r="G259" s="23"/>
      <c r="H259" s="24"/>
    </row>
    <row r="260" spans="1:8" ht="24" customHeight="1" x14ac:dyDescent="0.3">
      <c r="A260" s="18">
        <v>251</v>
      </c>
      <c r="B260" s="19" t="s">
        <v>1045</v>
      </c>
      <c r="C260" s="18">
        <v>0</v>
      </c>
      <c r="D260" s="20" t="s">
        <v>11</v>
      </c>
      <c r="E260" s="21">
        <v>0</v>
      </c>
      <c r="F260" s="22"/>
      <c r="G260" s="23"/>
      <c r="H260" s="24"/>
    </row>
    <row r="261" spans="1:8" ht="24" customHeight="1" x14ac:dyDescent="0.3">
      <c r="A261" s="18">
        <v>252</v>
      </c>
      <c r="B261" s="19" t="s">
        <v>1046</v>
      </c>
      <c r="C261" s="18">
        <v>0</v>
      </c>
      <c r="D261" s="20" t="s">
        <v>11</v>
      </c>
      <c r="E261" s="21">
        <v>0</v>
      </c>
      <c r="F261" s="22"/>
      <c r="G261" s="23"/>
      <c r="H261" s="24"/>
    </row>
    <row r="262" spans="1:8" ht="24" customHeight="1" x14ac:dyDescent="0.3">
      <c r="A262" s="18">
        <v>253</v>
      </c>
      <c r="B262" s="19" t="s">
        <v>1047</v>
      </c>
      <c r="C262" s="18">
        <v>0</v>
      </c>
      <c r="D262" s="20" t="s">
        <v>11</v>
      </c>
      <c r="E262" s="21">
        <v>0</v>
      </c>
      <c r="F262" s="22"/>
      <c r="G262" s="23"/>
      <c r="H262" s="24"/>
    </row>
    <row r="263" spans="1:8" ht="24" customHeight="1" x14ac:dyDescent="0.3">
      <c r="A263" s="18">
        <v>254</v>
      </c>
      <c r="B263" s="19" t="s">
        <v>1048</v>
      </c>
      <c r="C263" s="18">
        <v>0</v>
      </c>
      <c r="D263" s="20" t="s">
        <v>11</v>
      </c>
      <c r="E263" s="21">
        <v>0</v>
      </c>
      <c r="F263" s="22"/>
      <c r="G263" s="23"/>
      <c r="H263" s="24"/>
    </row>
    <row r="264" spans="1:8" ht="24" customHeight="1" x14ac:dyDescent="0.3">
      <c r="A264" s="18">
        <v>255</v>
      </c>
      <c r="B264" s="19" t="s">
        <v>1049</v>
      </c>
      <c r="C264" s="18">
        <v>0</v>
      </c>
      <c r="D264" s="20" t="s">
        <v>11</v>
      </c>
      <c r="E264" s="21">
        <v>0</v>
      </c>
      <c r="F264" s="22"/>
      <c r="G264" s="23"/>
      <c r="H264" s="24"/>
    </row>
    <row r="265" spans="1:8" ht="24" customHeight="1" x14ac:dyDescent="0.3">
      <c r="A265" s="18">
        <v>256</v>
      </c>
      <c r="B265" s="19" t="s">
        <v>1050</v>
      </c>
      <c r="C265" s="18">
        <v>0</v>
      </c>
      <c r="D265" s="20" t="s">
        <v>11</v>
      </c>
      <c r="E265" s="21">
        <v>0</v>
      </c>
      <c r="F265" s="22"/>
      <c r="G265" s="23"/>
      <c r="H265" s="24"/>
    </row>
    <row r="266" spans="1:8" ht="24" customHeight="1" x14ac:dyDescent="0.3">
      <c r="A266" s="18">
        <v>257</v>
      </c>
      <c r="B266" s="19" t="s">
        <v>1051</v>
      </c>
      <c r="C266" s="18">
        <v>0</v>
      </c>
      <c r="D266" s="20" t="s">
        <v>11</v>
      </c>
      <c r="E266" s="21">
        <v>0</v>
      </c>
      <c r="F266" s="22"/>
      <c r="G266" s="23"/>
      <c r="H266" s="24"/>
    </row>
    <row r="267" spans="1:8" ht="24" customHeight="1" x14ac:dyDescent="0.3">
      <c r="A267" s="18">
        <v>258</v>
      </c>
      <c r="B267" s="19" t="s">
        <v>1052</v>
      </c>
      <c r="C267" s="18">
        <v>0</v>
      </c>
      <c r="D267" s="20" t="s">
        <v>11</v>
      </c>
      <c r="E267" s="21">
        <v>0</v>
      </c>
      <c r="F267" s="22"/>
      <c r="G267" s="23"/>
      <c r="H267" s="24"/>
    </row>
    <row r="268" spans="1:8" ht="24" customHeight="1" x14ac:dyDescent="0.3">
      <c r="A268" s="18">
        <v>259</v>
      </c>
      <c r="B268" s="19" t="s">
        <v>1053</v>
      </c>
      <c r="C268" s="18">
        <v>0</v>
      </c>
      <c r="D268" s="20" t="s">
        <v>11</v>
      </c>
      <c r="E268" s="21">
        <v>0</v>
      </c>
      <c r="F268" s="22"/>
      <c r="G268" s="23"/>
      <c r="H268" s="24"/>
    </row>
    <row r="269" spans="1:8" ht="24" customHeight="1" x14ac:dyDescent="0.3">
      <c r="A269" s="18">
        <v>260</v>
      </c>
      <c r="B269" s="19" t="s">
        <v>1054</v>
      </c>
      <c r="C269" s="18">
        <v>0</v>
      </c>
      <c r="D269" s="20" t="s">
        <v>11</v>
      </c>
      <c r="E269" s="21">
        <v>0</v>
      </c>
      <c r="F269" s="22"/>
      <c r="G269" s="23"/>
      <c r="H269" s="24"/>
    </row>
    <row r="270" spans="1:8" ht="24" customHeight="1" x14ac:dyDescent="0.3">
      <c r="A270" s="18">
        <v>261</v>
      </c>
      <c r="B270" s="19" t="s">
        <v>1055</v>
      </c>
      <c r="C270" s="18">
        <v>0</v>
      </c>
      <c r="D270" s="20" t="s">
        <v>11</v>
      </c>
      <c r="E270" s="21">
        <v>0</v>
      </c>
      <c r="F270" s="22"/>
      <c r="G270" s="23"/>
      <c r="H270" s="24"/>
    </row>
    <row r="271" spans="1:8" ht="24" customHeight="1" x14ac:dyDescent="0.3">
      <c r="A271" s="18">
        <v>262</v>
      </c>
      <c r="B271" s="19" t="s">
        <v>1056</v>
      </c>
      <c r="C271" s="18">
        <v>0</v>
      </c>
      <c r="D271" s="20" t="s">
        <v>11</v>
      </c>
      <c r="E271" s="21">
        <v>0</v>
      </c>
      <c r="F271" s="22"/>
      <c r="G271" s="23"/>
      <c r="H271" s="24"/>
    </row>
    <row r="272" spans="1:8" ht="24" customHeight="1" x14ac:dyDescent="0.3">
      <c r="A272" s="18">
        <v>263</v>
      </c>
      <c r="B272" s="19" t="s">
        <v>1057</v>
      </c>
      <c r="C272" s="18">
        <v>0</v>
      </c>
      <c r="D272" s="20" t="s">
        <v>11</v>
      </c>
      <c r="E272" s="21">
        <v>0</v>
      </c>
      <c r="F272" s="22"/>
      <c r="G272" s="23"/>
      <c r="H272" s="24"/>
    </row>
    <row r="273" spans="1:8" ht="24" customHeight="1" x14ac:dyDescent="0.3">
      <c r="A273" s="18">
        <v>264</v>
      </c>
      <c r="B273" s="19" t="s">
        <v>1058</v>
      </c>
      <c r="C273" s="18">
        <v>0</v>
      </c>
      <c r="D273" s="20" t="s">
        <v>11</v>
      </c>
      <c r="E273" s="21">
        <v>0</v>
      </c>
      <c r="F273" s="22"/>
      <c r="G273" s="23"/>
      <c r="H273" s="24"/>
    </row>
    <row r="274" spans="1:8" ht="24" customHeight="1" x14ac:dyDescent="0.3">
      <c r="A274" s="18">
        <v>265</v>
      </c>
      <c r="B274" s="19" t="s">
        <v>1059</v>
      </c>
      <c r="C274" s="18">
        <v>0</v>
      </c>
      <c r="D274" s="20" t="s">
        <v>11</v>
      </c>
      <c r="E274" s="21">
        <v>0</v>
      </c>
      <c r="F274" s="22"/>
      <c r="G274" s="23"/>
      <c r="H274" s="24"/>
    </row>
    <row r="275" spans="1:8" ht="24" customHeight="1" x14ac:dyDescent="0.3">
      <c r="A275" s="18">
        <v>266</v>
      </c>
      <c r="B275" s="19" t="s">
        <v>1060</v>
      </c>
      <c r="C275" s="18">
        <v>0</v>
      </c>
      <c r="D275" s="20" t="s">
        <v>11</v>
      </c>
      <c r="E275" s="21">
        <v>0</v>
      </c>
      <c r="F275" s="22"/>
      <c r="G275" s="23"/>
      <c r="H275" s="24"/>
    </row>
    <row r="276" spans="1:8" ht="24" customHeight="1" x14ac:dyDescent="0.3">
      <c r="A276" s="18">
        <v>267</v>
      </c>
      <c r="B276" s="19" t="s">
        <v>1061</v>
      </c>
      <c r="C276" s="18">
        <v>0</v>
      </c>
      <c r="D276" s="20" t="s">
        <v>11</v>
      </c>
      <c r="E276" s="21">
        <v>0</v>
      </c>
      <c r="F276" s="22"/>
      <c r="G276" s="23"/>
      <c r="H276" s="24"/>
    </row>
    <row r="277" spans="1:8" ht="24" customHeight="1" x14ac:dyDescent="0.3">
      <c r="A277" s="18">
        <v>268</v>
      </c>
      <c r="B277" s="19" t="s">
        <v>1062</v>
      </c>
      <c r="C277" s="18">
        <v>0</v>
      </c>
      <c r="D277" s="20" t="s">
        <v>11</v>
      </c>
      <c r="E277" s="21">
        <v>0</v>
      </c>
      <c r="F277" s="22"/>
      <c r="G277" s="23"/>
      <c r="H277" s="24"/>
    </row>
    <row r="278" spans="1:8" ht="24" customHeight="1" x14ac:dyDescent="0.3">
      <c r="A278" s="18">
        <v>269</v>
      </c>
      <c r="B278" s="19" t="s">
        <v>1063</v>
      </c>
      <c r="C278" s="18">
        <v>0</v>
      </c>
      <c r="D278" s="20" t="s">
        <v>11</v>
      </c>
      <c r="E278" s="21">
        <v>0</v>
      </c>
      <c r="F278" s="22"/>
      <c r="G278" s="23"/>
      <c r="H278" s="24"/>
    </row>
    <row r="279" spans="1:8" ht="24" customHeight="1" x14ac:dyDescent="0.3">
      <c r="A279" s="18">
        <v>270</v>
      </c>
      <c r="B279" s="19" t="s">
        <v>1064</v>
      </c>
      <c r="C279" s="18">
        <v>0</v>
      </c>
      <c r="D279" s="20" t="s">
        <v>11</v>
      </c>
      <c r="E279" s="21">
        <v>0</v>
      </c>
      <c r="F279" s="22"/>
      <c r="G279" s="23"/>
      <c r="H279" s="24"/>
    </row>
    <row r="280" spans="1:8" ht="24" customHeight="1" x14ac:dyDescent="0.3">
      <c r="A280" s="18">
        <v>271</v>
      </c>
      <c r="B280" s="19" t="s">
        <v>1065</v>
      </c>
      <c r="C280" s="18">
        <v>0</v>
      </c>
      <c r="D280" s="20" t="s">
        <v>11</v>
      </c>
      <c r="E280" s="21">
        <v>0</v>
      </c>
      <c r="F280" s="22"/>
      <c r="G280" s="23"/>
      <c r="H280" s="24"/>
    </row>
    <row r="281" spans="1:8" ht="24" customHeight="1" x14ac:dyDescent="0.3">
      <c r="A281" s="18">
        <v>272</v>
      </c>
      <c r="B281" s="19" t="s">
        <v>1066</v>
      </c>
      <c r="C281" s="18">
        <v>0</v>
      </c>
      <c r="D281" s="20" t="s">
        <v>11</v>
      </c>
      <c r="E281" s="21">
        <v>0</v>
      </c>
      <c r="F281" s="22"/>
      <c r="G281" s="23"/>
      <c r="H281" s="24"/>
    </row>
    <row r="282" spans="1:8" ht="24" customHeight="1" x14ac:dyDescent="0.3">
      <c r="A282" s="18">
        <v>273</v>
      </c>
      <c r="B282" s="19" t="s">
        <v>1067</v>
      </c>
      <c r="C282" s="18">
        <v>0</v>
      </c>
      <c r="D282" s="20" t="s">
        <v>11</v>
      </c>
      <c r="E282" s="21">
        <v>0</v>
      </c>
      <c r="F282" s="22"/>
      <c r="G282" s="23"/>
      <c r="H282" s="24"/>
    </row>
    <row r="283" spans="1:8" ht="24" customHeight="1" x14ac:dyDescent="0.3">
      <c r="A283" s="18">
        <v>274</v>
      </c>
      <c r="B283" s="19" t="s">
        <v>1068</v>
      </c>
      <c r="C283" s="18">
        <v>0</v>
      </c>
      <c r="D283" s="20" t="s">
        <v>11</v>
      </c>
      <c r="E283" s="21">
        <v>0</v>
      </c>
      <c r="F283" s="22"/>
      <c r="G283" s="23"/>
      <c r="H283" s="24"/>
    </row>
    <row r="284" spans="1:8" ht="24" customHeight="1" x14ac:dyDescent="0.3">
      <c r="A284" s="18">
        <v>275</v>
      </c>
      <c r="B284" s="19" t="s">
        <v>1069</v>
      </c>
      <c r="C284" s="18">
        <v>0</v>
      </c>
      <c r="D284" s="20" t="s">
        <v>11</v>
      </c>
      <c r="E284" s="21">
        <v>0</v>
      </c>
      <c r="F284" s="22"/>
      <c r="G284" s="23"/>
      <c r="H284" s="24"/>
    </row>
    <row r="285" spans="1:8" ht="24" customHeight="1" x14ac:dyDescent="0.3">
      <c r="A285" s="18">
        <v>276</v>
      </c>
      <c r="B285" s="19" t="s">
        <v>1070</v>
      </c>
      <c r="C285" s="18">
        <v>0</v>
      </c>
      <c r="D285" s="20" t="s">
        <v>11</v>
      </c>
      <c r="E285" s="21">
        <v>0</v>
      </c>
      <c r="F285" s="22"/>
      <c r="G285" s="23"/>
      <c r="H285" s="24"/>
    </row>
    <row r="286" spans="1:8" ht="24" customHeight="1" x14ac:dyDescent="0.3">
      <c r="A286" s="18">
        <v>277</v>
      </c>
      <c r="B286" s="19" t="s">
        <v>1071</v>
      </c>
      <c r="C286" s="18">
        <v>0</v>
      </c>
      <c r="D286" s="20" t="s">
        <v>11</v>
      </c>
      <c r="E286" s="21">
        <v>0</v>
      </c>
      <c r="F286" s="22"/>
      <c r="G286" s="23"/>
      <c r="H286" s="24"/>
    </row>
    <row r="287" spans="1:8" ht="24" customHeight="1" x14ac:dyDescent="0.3">
      <c r="A287" s="18">
        <v>278</v>
      </c>
      <c r="B287" s="19" t="s">
        <v>1072</v>
      </c>
      <c r="C287" s="18">
        <v>0</v>
      </c>
      <c r="D287" s="20" t="s">
        <v>11</v>
      </c>
      <c r="E287" s="21">
        <v>0</v>
      </c>
      <c r="F287" s="22"/>
      <c r="G287" s="23"/>
      <c r="H287" s="24"/>
    </row>
    <row r="288" spans="1:8" ht="24" customHeight="1" x14ac:dyDescent="0.3">
      <c r="A288" s="18">
        <v>279</v>
      </c>
      <c r="B288" s="19" t="s">
        <v>1073</v>
      </c>
      <c r="C288" s="18">
        <v>0</v>
      </c>
      <c r="D288" s="20" t="s">
        <v>11</v>
      </c>
      <c r="E288" s="21">
        <v>0</v>
      </c>
      <c r="F288" s="22"/>
      <c r="G288" s="23"/>
      <c r="H288" s="24"/>
    </row>
    <row r="289" spans="1:8" ht="24" customHeight="1" x14ac:dyDescent="0.3">
      <c r="A289" s="18">
        <v>280</v>
      </c>
      <c r="B289" s="19" t="s">
        <v>1074</v>
      </c>
      <c r="C289" s="18">
        <v>0</v>
      </c>
      <c r="D289" s="20" t="s">
        <v>11</v>
      </c>
      <c r="E289" s="21">
        <v>0</v>
      </c>
      <c r="F289" s="22"/>
      <c r="G289" s="23"/>
      <c r="H289" s="24"/>
    </row>
    <row r="290" spans="1:8" ht="24" customHeight="1" x14ac:dyDescent="0.3">
      <c r="A290" s="18">
        <v>281</v>
      </c>
      <c r="B290" s="19" t="s">
        <v>1075</v>
      </c>
      <c r="C290" s="18">
        <v>0</v>
      </c>
      <c r="D290" s="20" t="s">
        <v>11</v>
      </c>
      <c r="E290" s="21">
        <v>0</v>
      </c>
      <c r="F290" s="22"/>
      <c r="G290" s="23"/>
      <c r="H290" s="24"/>
    </row>
    <row r="291" spans="1:8" ht="24" customHeight="1" x14ac:dyDescent="0.3">
      <c r="A291" s="18">
        <v>282</v>
      </c>
      <c r="B291" s="19" t="s">
        <v>1076</v>
      </c>
      <c r="C291" s="18">
        <v>0</v>
      </c>
      <c r="D291" s="20" t="s">
        <v>11</v>
      </c>
      <c r="E291" s="21">
        <v>0</v>
      </c>
      <c r="F291" s="22"/>
      <c r="G291" s="23"/>
      <c r="H291" s="24"/>
    </row>
    <row r="292" spans="1:8" ht="24" customHeight="1" x14ac:dyDescent="0.3">
      <c r="A292" s="18">
        <v>283</v>
      </c>
      <c r="B292" s="19" t="s">
        <v>1077</v>
      </c>
      <c r="C292" s="18">
        <v>0</v>
      </c>
      <c r="D292" s="20" t="s">
        <v>11</v>
      </c>
      <c r="E292" s="21">
        <v>0</v>
      </c>
      <c r="F292" s="22"/>
      <c r="G292" s="23"/>
      <c r="H292" s="24"/>
    </row>
    <row r="293" spans="1:8" ht="24" customHeight="1" x14ac:dyDescent="0.3">
      <c r="A293" s="18">
        <v>284</v>
      </c>
      <c r="B293" s="19" t="s">
        <v>1078</v>
      </c>
      <c r="C293" s="18">
        <v>0</v>
      </c>
      <c r="D293" s="20" t="s">
        <v>11</v>
      </c>
      <c r="E293" s="21">
        <v>0</v>
      </c>
      <c r="F293" s="22"/>
      <c r="G293" s="23"/>
      <c r="H293" s="24"/>
    </row>
    <row r="294" spans="1:8" ht="24" customHeight="1" x14ac:dyDescent="0.3">
      <c r="A294" s="18">
        <v>285</v>
      </c>
      <c r="B294" s="19" t="s">
        <v>1079</v>
      </c>
      <c r="C294" s="18">
        <v>0</v>
      </c>
      <c r="D294" s="20" t="s">
        <v>11</v>
      </c>
      <c r="E294" s="21">
        <v>0</v>
      </c>
      <c r="F294" s="22"/>
      <c r="G294" s="23"/>
      <c r="H294" s="24"/>
    </row>
    <row r="295" spans="1:8" ht="24" customHeight="1" x14ac:dyDescent="0.3">
      <c r="A295" s="18">
        <v>286</v>
      </c>
      <c r="B295" s="19" t="s">
        <v>1080</v>
      </c>
      <c r="C295" s="18">
        <v>0</v>
      </c>
      <c r="D295" s="20" t="s">
        <v>11</v>
      </c>
      <c r="E295" s="21">
        <v>0</v>
      </c>
      <c r="F295" s="22"/>
      <c r="G295" s="23"/>
      <c r="H295" s="24"/>
    </row>
    <row r="296" spans="1:8" ht="24" customHeight="1" x14ac:dyDescent="0.3">
      <c r="A296" s="18">
        <v>287</v>
      </c>
      <c r="B296" s="19" t="s">
        <v>1081</v>
      </c>
      <c r="C296" s="18">
        <v>0</v>
      </c>
      <c r="D296" s="20" t="s">
        <v>11</v>
      </c>
      <c r="E296" s="21">
        <v>0</v>
      </c>
      <c r="F296" s="22"/>
      <c r="G296" s="23"/>
      <c r="H296" s="24"/>
    </row>
    <row r="297" spans="1:8" ht="24" customHeight="1" x14ac:dyDescent="0.3">
      <c r="A297" s="18">
        <v>288</v>
      </c>
      <c r="B297" s="19" t="s">
        <v>1082</v>
      </c>
      <c r="C297" s="18">
        <v>0</v>
      </c>
      <c r="D297" s="20" t="s">
        <v>11</v>
      </c>
      <c r="E297" s="21">
        <v>0</v>
      </c>
      <c r="F297" s="22"/>
      <c r="G297" s="23"/>
      <c r="H297" s="24"/>
    </row>
    <row r="298" spans="1:8" ht="24" customHeight="1" x14ac:dyDescent="0.3">
      <c r="A298" s="18">
        <v>289</v>
      </c>
      <c r="B298" s="19" t="s">
        <v>1083</v>
      </c>
      <c r="C298" s="18">
        <v>0</v>
      </c>
      <c r="D298" s="20" t="s">
        <v>11</v>
      </c>
      <c r="E298" s="21">
        <v>0</v>
      </c>
      <c r="F298" s="22"/>
      <c r="G298" s="23"/>
      <c r="H298" s="24"/>
    </row>
    <row r="299" spans="1:8" ht="24" customHeight="1" x14ac:dyDescent="0.3">
      <c r="A299" s="18">
        <v>290</v>
      </c>
      <c r="B299" s="19" t="s">
        <v>1084</v>
      </c>
      <c r="C299" s="18">
        <v>0</v>
      </c>
      <c r="D299" s="20" t="s">
        <v>11</v>
      </c>
      <c r="E299" s="21">
        <v>0</v>
      </c>
      <c r="F299" s="22"/>
      <c r="G299" s="23"/>
      <c r="H299" s="24"/>
    </row>
    <row r="300" spans="1:8" ht="24" customHeight="1" x14ac:dyDescent="0.3">
      <c r="A300" s="18">
        <v>291</v>
      </c>
      <c r="B300" s="19" t="s">
        <v>1085</v>
      </c>
      <c r="C300" s="18">
        <v>0</v>
      </c>
      <c r="D300" s="20" t="s">
        <v>11</v>
      </c>
      <c r="E300" s="21">
        <v>0</v>
      </c>
      <c r="F300" s="22"/>
      <c r="G300" s="23"/>
      <c r="H300" s="24"/>
    </row>
    <row r="301" spans="1:8" ht="24" customHeight="1" x14ac:dyDescent="0.3">
      <c r="A301" s="18">
        <v>292</v>
      </c>
      <c r="B301" s="19" t="s">
        <v>1086</v>
      </c>
      <c r="C301" s="18">
        <v>0</v>
      </c>
      <c r="D301" s="20" t="s">
        <v>11</v>
      </c>
      <c r="E301" s="21">
        <v>0</v>
      </c>
      <c r="F301" s="22"/>
      <c r="G301" s="23"/>
      <c r="H301" s="24"/>
    </row>
    <row r="302" spans="1:8" ht="24" customHeight="1" x14ac:dyDescent="0.3">
      <c r="A302" s="18">
        <v>293</v>
      </c>
      <c r="B302" s="19" t="s">
        <v>1087</v>
      </c>
      <c r="C302" s="18">
        <v>0</v>
      </c>
      <c r="D302" s="20" t="s">
        <v>11</v>
      </c>
      <c r="E302" s="21">
        <v>0</v>
      </c>
      <c r="F302" s="22"/>
      <c r="G302" s="23"/>
      <c r="H302" s="24"/>
    </row>
    <row r="303" spans="1:8" ht="24" customHeight="1" x14ac:dyDescent="0.3">
      <c r="A303" s="18">
        <v>294</v>
      </c>
      <c r="B303" s="19" t="s">
        <v>1088</v>
      </c>
      <c r="C303" s="18">
        <v>0</v>
      </c>
      <c r="D303" s="20" t="s">
        <v>11</v>
      </c>
      <c r="E303" s="21">
        <v>0</v>
      </c>
      <c r="F303" s="22"/>
      <c r="G303" s="23"/>
      <c r="H303" s="24"/>
    </row>
    <row r="304" spans="1:8" ht="24" customHeight="1" x14ac:dyDescent="0.3">
      <c r="A304" s="18">
        <v>295</v>
      </c>
      <c r="B304" s="19" t="s">
        <v>1089</v>
      </c>
      <c r="C304" s="18">
        <v>0</v>
      </c>
      <c r="D304" s="20" t="s">
        <v>11</v>
      </c>
      <c r="E304" s="21">
        <v>0</v>
      </c>
      <c r="F304" s="22"/>
      <c r="G304" s="23"/>
      <c r="H304" s="24"/>
    </row>
    <row r="305" spans="1:8" ht="24" customHeight="1" x14ac:dyDescent="0.3">
      <c r="A305" s="18">
        <v>296</v>
      </c>
      <c r="B305" s="19" t="s">
        <v>1090</v>
      </c>
      <c r="C305" s="18">
        <v>0</v>
      </c>
      <c r="D305" s="20" t="s">
        <v>11</v>
      </c>
      <c r="E305" s="21">
        <v>0</v>
      </c>
      <c r="F305" s="22"/>
      <c r="G305" s="23"/>
      <c r="H305" s="24"/>
    </row>
    <row r="306" spans="1:8" ht="24" customHeight="1" x14ac:dyDescent="0.3">
      <c r="A306" s="18">
        <v>297</v>
      </c>
      <c r="B306" s="19" t="s">
        <v>1091</v>
      </c>
      <c r="C306" s="18">
        <v>0</v>
      </c>
      <c r="D306" s="20" t="s">
        <v>11</v>
      </c>
      <c r="E306" s="21">
        <v>0</v>
      </c>
      <c r="F306" s="22"/>
      <c r="G306" s="23"/>
      <c r="H306" s="24"/>
    </row>
    <row r="307" spans="1:8" ht="24" customHeight="1" x14ac:dyDescent="0.3">
      <c r="A307" s="18">
        <v>298</v>
      </c>
      <c r="B307" s="19" t="s">
        <v>1092</v>
      </c>
      <c r="C307" s="18">
        <v>0</v>
      </c>
      <c r="D307" s="20" t="s">
        <v>11</v>
      </c>
      <c r="E307" s="21">
        <v>0</v>
      </c>
      <c r="F307" s="22"/>
      <c r="G307" s="23"/>
      <c r="H307" s="24"/>
    </row>
    <row r="308" spans="1:8" ht="24" customHeight="1" x14ac:dyDescent="0.3">
      <c r="A308" s="18">
        <v>299</v>
      </c>
      <c r="B308" s="19" t="s">
        <v>1093</v>
      </c>
      <c r="C308" s="18">
        <v>0</v>
      </c>
      <c r="D308" s="20" t="s">
        <v>11</v>
      </c>
      <c r="E308" s="21">
        <v>0</v>
      </c>
      <c r="F308" s="22"/>
      <c r="G308" s="23"/>
      <c r="H308" s="24"/>
    </row>
    <row r="309" spans="1:8" ht="24" customHeight="1" x14ac:dyDescent="0.3">
      <c r="A309" s="18">
        <v>300</v>
      </c>
      <c r="B309" s="19" t="s">
        <v>1094</v>
      </c>
      <c r="C309" s="18">
        <v>0</v>
      </c>
      <c r="D309" s="20" t="s">
        <v>11</v>
      </c>
      <c r="E309" s="21">
        <v>0</v>
      </c>
      <c r="F309" s="22"/>
      <c r="G309" s="23"/>
      <c r="H309" s="24"/>
    </row>
    <row r="310" spans="1:8" ht="24" customHeight="1" x14ac:dyDescent="0.3">
      <c r="A310" s="18">
        <v>301</v>
      </c>
      <c r="B310" s="19" t="s">
        <v>1095</v>
      </c>
      <c r="C310" s="18">
        <v>0</v>
      </c>
      <c r="D310" s="20" t="s">
        <v>11</v>
      </c>
      <c r="E310" s="21">
        <v>0</v>
      </c>
      <c r="F310" s="22"/>
      <c r="G310" s="23"/>
      <c r="H310" s="24"/>
    </row>
    <row r="311" spans="1:8" ht="24" customHeight="1" x14ac:dyDescent="0.3">
      <c r="A311" s="18">
        <v>302</v>
      </c>
      <c r="B311" s="19" t="s">
        <v>1096</v>
      </c>
      <c r="C311" s="18">
        <v>0</v>
      </c>
      <c r="D311" s="20" t="s">
        <v>11</v>
      </c>
      <c r="E311" s="21">
        <v>0</v>
      </c>
      <c r="F311" s="22"/>
      <c r="G311" s="23"/>
      <c r="H311" s="24"/>
    </row>
    <row r="312" spans="1:8" ht="24" customHeight="1" x14ac:dyDescent="0.3">
      <c r="A312" s="18">
        <v>303</v>
      </c>
      <c r="B312" s="19" t="s">
        <v>1097</v>
      </c>
      <c r="C312" s="18">
        <v>0</v>
      </c>
      <c r="D312" s="20" t="s">
        <v>11</v>
      </c>
      <c r="E312" s="21">
        <v>0</v>
      </c>
      <c r="F312" s="22"/>
      <c r="G312" s="23"/>
      <c r="H312" s="24"/>
    </row>
    <row r="313" spans="1:8" ht="24" customHeight="1" x14ac:dyDescent="0.3">
      <c r="A313" s="18">
        <v>304</v>
      </c>
      <c r="B313" s="19" t="s">
        <v>1098</v>
      </c>
      <c r="C313" s="18">
        <v>0</v>
      </c>
      <c r="D313" s="20" t="s">
        <v>11</v>
      </c>
      <c r="E313" s="21">
        <v>0</v>
      </c>
      <c r="F313" s="22"/>
      <c r="G313" s="23"/>
      <c r="H313" s="24"/>
    </row>
    <row r="314" spans="1:8" ht="24" customHeight="1" x14ac:dyDescent="0.3">
      <c r="A314" s="18">
        <v>305</v>
      </c>
      <c r="B314" s="19" t="s">
        <v>1099</v>
      </c>
      <c r="C314" s="18">
        <v>0</v>
      </c>
      <c r="D314" s="20" t="s">
        <v>11</v>
      </c>
      <c r="E314" s="21">
        <v>0</v>
      </c>
      <c r="F314" s="22"/>
      <c r="G314" s="23"/>
      <c r="H314" s="24"/>
    </row>
    <row r="315" spans="1:8" ht="24" customHeight="1" x14ac:dyDescent="0.3">
      <c r="A315" s="18">
        <v>306</v>
      </c>
      <c r="B315" s="19" t="s">
        <v>1100</v>
      </c>
      <c r="C315" s="18">
        <v>0</v>
      </c>
      <c r="D315" s="20" t="s">
        <v>11</v>
      </c>
      <c r="E315" s="21">
        <v>0</v>
      </c>
      <c r="F315" s="22"/>
      <c r="G315" s="23"/>
      <c r="H315" s="24"/>
    </row>
    <row r="316" spans="1:8" ht="24" customHeight="1" x14ac:dyDescent="0.3">
      <c r="A316" s="18">
        <v>307</v>
      </c>
      <c r="B316" s="19" t="s">
        <v>1101</v>
      </c>
      <c r="C316" s="18">
        <v>0</v>
      </c>
      <c r="D316" s="20" t="s">
        <v>11</v>
      </c>
      <c r="E316" s="21">
        <v>0</v>
      </c>
      <c r="F316" s="22"/>
      <c r="G316" s="23"/>
      <c r="H316" s="24"/>
    </row>
    <row r="317" spans="1:8" ht="24" customHeight="1" x14ac:dyDescent="0.3">
      <c r="A317" s="18">
        <v>308</v>
      </c>
      <c r="B317" s="19" t="s">
        <v>1102</v>
      </c>
      <c r="C317" s="18">
        <v>0</v>
      </c>
      <c r="D317" s="20" t="s">
        <v>11</v>
      </c>
      <c r="E317" s="21">
        <v>0</v>
      </c>
      <c r="F317" s="22"/>
      <c r="G317" s="23"/>
      <c r="H317" s="24"/>
    </row>
    <row r="318" spans="1:8" ht="24" customHeight="1" x14ac:dyDescent="0.3">
      <c r="A318" s="18">
        <v>309</v>
      </c>
      <c r="B318" s="19" t="s">
        <v>1103</v>
      </c>
      <c r="C318" s="18">
        <v>0</v>
      </c>
      <c r="D318" s="20" t="s">
        <v>11</v>
      </c>
      <c r="E318" s="21">
        <v>0</v>
      </c>
      <c r="F318" s="22"/>
      <c r="G318" s="23"/>
      <c r="H318" s="24"/>
    </row>
    <row r="319" spans="1:8" ht="24" customHeight="1" x14ac:dyDescent="0.3">
      <c r="A319" s="18">
        <v>310</v>
      </c>
      <c r="B319" s="19" t="s">
        <v>1104</v>
      </c>
      <c r="C319" s="18">
        <v>0</v>
      </c>
      <c r="D319" s="20" t="s">
        <v>11</v>
      </c>
      <c r="E319" s="21">
        <v>0</v>
      </c>
      <c r="F319" s="22"/>
      <c r="G319" s="23"/>
      <c r="H319" s="24"/>
    </row>
    <row r="320" spans="1:8" ht="24" customHeight="1" x14ac:dyDescent="0.3">
      <c r="A320" s="18">
        <v>311</v>
      </c>
      <c r="B320" s="19" t="s">
        <v>1105</v>
      </c>
      <c r="C320" s="18">
        <v>0</v>
      </c>
      <c r="D320" s="20" t="s">
        <v>11</v>
      </c>
      <c r="E320" s="21">
        <v>0</v>
      </c>
      <c r="F320" s="22"/>
      <c r="G320" s="23"/>
      <c r="H320" s="24"/>
    </row>
    <row r="321" spans="1:8" ht="24" customHeight="1" x14ac:dyDescent="0.3">
      <c r="A321" s="18">
        <v>312</v>
      </c>
      <c r="B321" s="19" t="s">
        <v>1106</v>
      </c>
      <c r="C321" s="18">
        <v>0</v>
      </c>
      <c r="D321" s="20" t="s">
        <v>11</v>
      </c>
      <c r="E321" s="21">
        <v>0</v>
      </c>
      <c r="F321" s="22"/>
      <c r="G321" s="23"/>
      <c r="H321" s="24"/>
    </row>
    <row r="322" spans="1:8" ht="24" customHeight="1" x14ac:dyDescent="0.3">
      <c r="A322" s="18">
        <v>313</v>
      </c>
      <c r="B322" s="19" t="s">
        <v>1107</v>
      </c>
      <c r="C322" s="18">
        <v>0</v>
      </c>
      <c r="D322" s="20" t="s">
        <v>11</v>
      </c>
      <c r="E322" s="21">
        <v>0</v>
      </c>
      <c r="F322" s="22"/>
      <c r="G322" s="23"/>
      <c r="H322" s="24"/>
    </row>
    <row r="323" spans="1:8" ht="24" customHeight="1" x14ac:dyDescent="0.3">
      <c r="A323" s="18">
        <v>314</v>
      </c>
      <c r="B323" s="19" t="s">
        <v>1108</v>
      </c>
      <c r="C323" s="18">
        <v>0</v>
      </c>
      <c r="D323" s="20" t="s">
        <v>11</v>
      </c>
      <c r="E323" s="21">
        <v>0</v>
      </c>
      <c r="F323" s="22"/>
      <c r="G323" s="23"/>
      <c r="H323" s="24"/>
    </row>
    <row r="324" spans="1:8" ht="24" customHeight="1" x14ac:dyDescent="0.3">
      <c r="A324" s="18">
        <v>315</v>
      </c>
      <c r="B324" s="19" t="s">
        <v>1109</v>
      </c>
      <c r="C324" s="18">
        <v>0</v>
      </c>
      <c r="D324" s="20" t="s">
        <v>11</v>
      </c>
      <c r="E324" s="21">
        <v>0</v>
      </c>
      <c r="F324" s="22"/>
      <c r="G324" s="23"/>
      <c r="H324" s="24"/>
    </row>
    <row r="325" spans="1:8" ht="24" customHeight="1" x14ac:dyDescent="0.3">
      <c r="A325" s="18">
        <v>316</v>
      </c>
      <c r="B325" s="19" t="s">
        <v>1110</v>
      </c>
      <c r="C325" s="18">
        <v>0</v>
      </c>
      <c r="D325" s="20" t="s">
        <v>11</v>
      </c>
      <c r="E325" s="21">
        <v>0</v>
      </c>
      <c r="F325" s="22"/>
      <c r="G325" s="23"/>
      <c r="H325" s="24"/>
    </row>
    <row r="326" spans="1:8" ht="24" customHeight="1" x14ac:dyDescent="0.3">
      <c r="A326" s="18">
        <v>317</v>
      </c>
      <c r="B326" s="19" t="s">
        <v>1111</v>
      </c>
      <c r="C326" s="18">
        <v>0</v>
      </c>
      <c r="D326" s="20" t="s">
        <v>11</v>
      </c>
      <c r="E326" s="21">
        <v>0</v>
      </c>
      <c r="F326" s="22"/>
      <c r="G326" s="23"/>
      <c r="H326" s="24"/>
    </row>
    <row r="327" spans="1:8" ht="24" customHeight="1" x14ac:dyDescent="0.3">
      <c r="A327" s="18">
        <v>318</v>
      </c>
      <c r="B327" s="19" t="s">
        <v>1112</v>
      </c>
      <c r="C327" s="18">
        <v>0</v>
      </c>
      <c r="D327" s="20" t="s">
        <v>11</v>
      </c>
      <c r="E327" s="21">
        <v>0</v>
      </c>
      <c r="F327" s="22"/>
      <c r="G327" s="23"/>
      <c r="H327" s="24"/>
    </row>
    <row r="328" spans="1:8" ht="24" customHeight="1" x14ac:dyDescent="0.3">
      <c r="A328" s="18">
        <v>319</v>
      </c>
      <c r="B328" s="19" t="s">
        <v>1113</v>
      </c>
      <c r="C328" s="18">
        <v>0</v>
      </c>
      <c r="D328" s="20" t="s">
        <v>11</v>
      </c>
      <c r="E328" s="21">
        <v>0</v>
      </c>
      <c r="F328" s="22"/>
      <c r="G328" s="23"/>
      <c r="H328" s="24"/>
    </row>
    <row r="329" spans="1:8" ht="24" customHeight="1" x14ac:dyDescent="0.3">
      <c r="A329" s="18">
        <v>320</v>
      </c>
      <c r="B329" s="19" t="s">
        <v>1114</v>
      </c>
      <c r="C329" s="18">
        <v>0</v>
      </c>
      <c r="D329" s="20" t="s">
        <v>11</v>
      </c>
      <c r="E329" s="21">
        <v>0</v>
      </c>
      <c r="F329" s="22"/>
      <c r="G329" s="23"/>
      <c r="H329" s="24"/>
    </row>
    <row r="330" spans="1:8" ht="24" customHeight="1" x14ac:dyDescent="0.3">
      <c r="A330" s="25">
        <v>321</v>
      </c>
      <c r="B330" s="26" t="s">
        <v>1115</v>
      </c>
      <c r="C330" s="25">
        <v>0</v>
      </c>
      <c r="D330" s="27" t="s">
        <v>11</v>
      </c>
      <c r="E330" s="28">
        <v>0</v>
      </c>
      <c r="F330" s="29"/>
      <c r="G330" s="30"/>
      <c r="H330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330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330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330" xr:uid="{8E3E92E3-6ED2-417F-8F56-6D67732EFB9A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330" xr:uid="{52E1C32F-DFE2-4B5B-92E9-9D68134EF6FD}">
      <formula1>0</formula1>
      <formula2>1</formula2>
    </dataValidation>
    <dataValidation type="decimal" allowBlank="1" showInputMessage="1" showErrorMessage="1" errorTitle="Giá trị không hợp lệ" error="Nhập điểm từ 0 đến 10." sqref="F10:F330" xr:uid="{8B43F372-D9B5-494A-A199-240AE3F38539}">
      <formula1>0</formula1>
      <formula2>10</formula2>
    </dataValidation>
  </dataValidations>
  <hyperlinks>
    <hyperlink ref="B3" r:id="rId1" display="06 - Ngôn ngữ/05 - Tiếng Đức/complete-german-course-speaking" xr:uid="{140852BD-68E9-4F9C-A078-7D96DDBB0EF6}"/>
  </hyperlinks>
  <pageMargins left="0.7" right="0.7" top="0.75" bottom="0.75" header="0.3" footer="0.3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97FC5-30AC-4DEC-AE25-F641CBE41F80}">
  <sheetPr>
    <tabColor rgb="FF0D9488"/>
  </sheetPr>
  <dimension ref="A1:H16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780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781</v>
      </c>
      <c r="C2" s="16" t="s">
        <v>25</v>
      </c>
      <c r="D2" s="15" t="s">
        <v>670</v>
      </c>
      <c r="E2" s="16" t="s">
        <v>26</v>
      </c>
      <c r="F2" s="15" t="s">
        <v>782</v>
      </c>
      <c r="G2" s="15"/>
      <c r="H2" s="15"/>
    </row>
    <row r="3" spans="1:8" ht="30" customHeight="1" x14ac:dyDescent="0.3">
      <c r="A3" s="16" t="s">
        <v>27</v>
      </c>
      <c r="B3" s="56" t="s">
        <v>783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COUNTA(B10:B16)</f>
        <v>7</v>
      </c>
      <c r="B6" s="59"/>
      <c r="C6" s="60">
        <f t="shared" ref="C6" si="1">COUNTIF(D10:D16,"Đã hoàn thành")</f>
        <v>0</v>
      </c>
      <c r="D6" s="60"/>
      <c r="E6" s="61">
        <f t="shared" ref="E6" si="2">IFERROR(AVERAGE(E10:E16),0)</f>
        <v>0</v>
      </c>
      <c r="F6" s="61"/>
      <c r="G6" s="62" t="str">
        <f t="shared" ref="G6" si="3">IFERROR(AVERAGE(F10:F16),"")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784</v>
      </c>
      <c r="C10" s="18">
        <v>64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785</v>
      </c>
      <c r="C11" s="18">
        <v>20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786</v>
      </c>
      <c r="C12" s="18">
        <v>40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787</v>
      </c>
      <c r="C13" s="18">
        <v>44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788</v>
      </c>
      <c r="C14" s="18">
        <v>4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18">
        <v>6</v>
      </c>
      <c r="B15" s="19" t="s">
        <v>789</v>
      </c>
      <c r="C15" s="18">
        <v>5</v>
      </c>
      <c r="D15" s="20" t="s">
        <v>11</v>
      </c>
      <c r="E15" s="21">
        <v>0</v>
      </c>
      <c r="F15" s="22"/>
      <c r="G15" s="23"/>
      <c r="H15" s="24"/>
    </row>
    <row r="16" spans="1:8" ht="24" customHeight="1" x14ac:dyDescent="0.3">
      <c r="A16" s="25">
        <v>7</v>
      </c>
      <c r="B16" s="26" t="s">
        <v>790</v>
      </c>
      <c r="C16" s="25">
        <v>14</v>
      </c>
      <c r="D16" s="27" t="s">
        <v>11</v>
      </c>
      <c r="E16" s="28">
        <v>0</v>
      </c>
      <c r="F16" s="29"/>
      <c r="G16" s="30"/>
      <c r="H16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16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16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16" xr:uid="{4AE91725-00E4-4732-ABFA-37AA473DD31B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16" xr:uid="{016140D3-6289-4F44-966F-0AA9D0933C1C}">
      <formula1>0</formula1>
      <formula2>1</formula2>
    </dataValidation>
    <dataValidation type="decimal" allowBlank="1" showInputMessage="1" showErrorMessage="1" errorTitle="Giá trị không hợp lệ" error="Nhập điểm từ 0 đến 10." sqref="F10:F16" xr:uid="{CC340904-852F-4424-A4DD-AC8D9D53E6E0}">
      <formula1>0</formula1>
      <formula2>10</formula2>
    </dataValidation>
  </dataValidations>
  <hyperlinks>
    <hyperlink ref="B3" r:id="rId1" display="06 - Ngôn ngữ/04 - Tiếng Pháp/complete-french-course" xr:uid="{E3CE101B-28E1-45E8-983D-23DB13E56567}"/>
  </hyperlinks>
  <pageMargins left="0.7" right="0.7" top="0.75" bottom="0.75" header="0.3" footer="0.3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01513-7B83-4C7D-8BE2-614B882A2B75}">
  <sheetPr>
    <tabColor rgb="FF0D9488"/>
  </sheetPr>
  <dimension ref="A1:H24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761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762</v>
      </c>
      <c r="C2" s="16" t="s">
        <v>25</v>
      </c>
      <c r="D2" s="15" t="s">
        <v>670</v>
      </c>
      <c r="E2" s="16" t="s">
        <v>26</v>
      </c>
      <c r="F2" s="15" t="s">
        <v>763</v>
      </c>
      <c r="G2" s="15"/>
      <c r="H2" s="15"/>
    </row>
    <row r="3" spans="1:8" ht="30" customHeight="1" x14ac:dyDescent="0.3">
      <c r="A3" s="16" t="s">
        <v>27</v>
      </c>
      <c r="B3" s="56" t="s">
        <v>764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COUNTA(B10:B24)</f>
        <v>15</v>
      </c>
      <c r="B6" s="59"/>
      <c r="C6" s="60">
        <f t="shared" ref="C6" si="1">COUNTIF(D10:D24,"Đã hoàn thành")</f>
        <v>0</v>
      </c>
      <c r="D6" s="60"/>
      <c r="E6" s="61">
        <f t="shared" ref="E6" si="2">IFERROR(AVERAGE(E10:E24),0)</f>
        <v>0</v>
      </c>
      <c r="F6" s="61"/>
      <c r="G6" s="62" t="str">
        <f t="shared" ref="G6" si="3">IFERROR(AVERAGE(F10:F24),"")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765</v>
      </c>
      <c r="C10" s="18">
        <v>5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766</v>
      </c>
      <c r="C11" s="18">
        <v>20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767</v>
      </c>
      <c r="C12" s="18">
        <v>20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768</v>
      </c>
      <c r="C13" s="18">
        <v>5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769</v>
      </c>
      <c r="C14" s="18">
        <v>5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18">
        <v>6</v>
      </c>
      <c r="B15" s="19" t="s">
        <v>770</v>
      </c>
      <c r="C15" s="18">
        <v>15</v>
      </c>
      <c r="D15" s="20" t="s">
        <v>11</v>
      </c>
      <c r="E15" s="21">
        <v>0</v>
      </c>
      <c r="F15" s="22"/>
      <c r="G15" s="23"/>
      <c r="H15" s="24"/>
    </row>
    <row r="16" spans="1:8" ht="24" customHeight="1" x14ac:dyDescent="0.3">
      <c r="A16" s="18">
        <v>7</v>
      </c>
      <c r="B16" s="19" t="s">
        <v>771</v>
      </c>
      <c r="C16" s="18">
        <v>14</v>
      </c>
      <c r="D16" s="20" t="s">
        <v>11</v>
      </c>
      <c r="E16" s="21">
        <v>0</v>
      </c>
      <c r="F16" s="22"/>
      <c r="G16" s="23"/>
      <c r="H16" s="24"/>
    </row>
    <row r="17" spans="1:8" ht="24" customHeight="1" x14ac:dyDescent="0.3">
      <c r="A17" s="18">
        <v>8</v>
      </c>
      <c r="B17" s="19" t="s">
        <v>772</v>
      </c>
      <c r="C17" s="18">
        <v>8</v>
      </c>
      <c r="D17" s="20" t="s">
        <v>11</v>
      </c>
      <c r="E17" s="21">
        <v>0</v>
      </c>
      <c r="F17" s="22"/>
      <c r="G17" s="23"/>
      <c r="H17" s="24"/>
    </row>
    <row r="18" spans="1:8" ht="24" customHeight="1" x14ac:dyDescent="0.3">
      <c r="A18" s="18">
        <v>9</v>
      </c>
      <c r="B18" s="19" t="s">
        <v>773</v>
      </c>
      <c r="C18" s="18">
        <v>12</v>
      </c>
      <c r="D18" s="20" t="s">
        <v>11</v>
      </c>
      <c r="E18" s="21">
        <v>0</v>
      </c>
      <c r="F18" s="22"/>
      <c r="G18" s="23"/>
      <c r="H18" s="24"/>
    </row>
    <row r="19" spans="1:8" ht="24" customHeight="1" x14ac:dyDescent="0.3">
      <c r="A19" s="18">
        <v>10</v>
      </c>
      <c r="B19" s="19" t="s">
        <v>774</v>
      </c>
      <c r="C19" s="18">
        <v>12</v>
      </c>
      <c r="D19" s="20" t="s">
        <v>11</v>
      </c>
      <c r="E19" s="21">
        <v>0</v>
      </c>
      <c r="F19" s="22"/>
      <c r="G19" s="23"/>
      <c r="H19" s="24"/>
    </row>
    <row r="20" spans="1:8" ht="24" customHeight="1" x14ac:dyDescent="0.3">
      <c r="A20" s="18">
        <v>11</v>
      </c>
      <c r="B20" s="19" t="s">
        <v>775</v>
      </c>
      <c r="C20" s="18">
        <v>14</v>
      </c>
      <c r="D20" s="20" t="s">
        <v>11</v>
      </c>
      <c r="E20" s="21">
        <v>0</v>
      </c>
      <c r="F20" s="22"/>
      <c r="G20" s="23"/>
      <c r="H20" s="24"/>
    </row>
    <row r="21" spans="1:8" ht="24" customHeight="1" x14ac:dyDescent="0.3">
      <c r="A21" s="18">
        <v>12</v>
      </c>
      <c r="B21" s="19" t="s">
        <v>776</v>
      </c>
      <c r="C21" s="18">
        <v>14</v>
      </c>
      <c r="D21" s="20" t="s">
        <v>11</v>
      </c>
      <c r="E21" s="21">
        <v>0</v>
      </c>
      <c r="F21" s="22"/>
      <c r="G21" s="23"/>
      <c r="H21" s="24"/>
    </row>
    <row r="22" spans="1:8" ht="24" customHeight="1" x14ac:dyDescent="0.3">
      <c r="A22" s="18">
        <v>13</v>
      </c>
      <c r="B22" s="19" t="s">
        <v>777</v>
      </c>
      <c r="C22" s="18">
        <v>16</v>
      </c>
      <c r="D22" s="20" t="s">
        <v>11</v>
      </c>
      <c r="E22" s="21">
        <v>0</v>
      </c>
      <c r="F22" s="22"/>
      <c r="G22" s="23"/>
      <c r="H22" s="24"/>
    </row>
    <row r="23" spans="1:8" ht="24" customHeight="1" x14ac:dyDescent="0.3">
      <c r="A23" s="18">
        <v>14</v>
      </c>
      <c r="B23" s="19" t="s">
        <v>778</v>
      </c>
      <c r="C23" s="18">
        <v>16</v>
      </c>
      <c r="D23" s="20" t="s">
        <v>11</v>
      </c>
      <c r="E23" s="21">
        <v>0</v>
      </c>
      <c r="F23" s="22"/>
      <c r="G23" s="23"/>
      <c r="H23" s="24"/>
    </row>
    <row r="24" spans="1:8" ht="24" customHeight="1" x14ac:dyDescent="0.3">
      <c r="A24" s="25">
        <v>15</v>
      </c>
      <c r="B24" s="26" t="s">
        <v>779</v>
      </c>
      <c r="C24" s="25">
        <v>8</v>
      </c>
      <c r="D24" s="27" t="s">
        <v>11</v>
      </c>
      <c r="E24" s="28">
        <v>0</v>
      </c>
      <c r="F24" s="29"/>
      <c r="G24" s="30"/>
      <c r="H24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24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24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24" xr:uid="{CA0F7A0C-DB19-4B12-8673-EB57E8AB1C72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24" xr:uid="{D1FD5429-1CAD-4A4D-AE63-A12F5BD0BE1F}">
      <formula1>0</formula1>
      <formula2>1</formula2>
    </dataValidation>
    <dataValidation type="decimal" allowBlank="1" showInputMessage="1" showErrorMessage="1" errorTitle="Giá trị không hợp lệ" error="Nhập điểm từ 0 đến 10." sqref="F10:F24" xr:uid="{6D4A8325-841D-4E01-B16B-A058ADDE1BBA}">
      <formula1>0</formula1>
      <formula2>10</formula2>
    </dataValidation>
  </dataValidations>
  <hyperlinks>
    <hyperlink ref="B3" r:id="rId1" display="06 - Ngôn ngữ/03 - Tiếng Nhật/learn-japanese-for-beginners-course" xr:uid="{7754BD8B-6243-4782-8EFA-8B9926250FD8}"/>
  </hyperlinks>
  <pageMargins left="0.7" right="0.7" top="0.75" bottom="0.75" header="0.3" footer="0.3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2933B-A913-44FF-9578-F1A9603CFE38}">
  <sheetPr>
    <tabColor rgb="FF0D9488"/>
  </sheetPr>
  <dimension ref="A1:H65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702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703</v>
      </c>
      <c r="C2" s="16" t="s">
        <v>25</v>
      </c>
      <c r="D2" s="15" t="s">
        <v>670</v>
      </c>
      <c r="E2" s="16" t="s">
        <v>26</v>
      </c>
      <c r="F2" s="15" t="s">
        <v>694</v>
      </c>
      <c r="G2" s="15"/>
      <c r="H2" s="15"/>
    </row>
    <row r="3" spans="1:8" ht="30" customHeight="1" x14ac:dyDescent="0.3">
      <c r="A3" s="16" t="s">
        <v>27</v>
      </c>
      <c r="B3" s="56" t="s">
        <v>704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COUNTA(B10:B65)</f>
        <v>56</v>
      </c>
      <c r="B6" s="59"/>
      <c r="C6" s="60">
        <f t="shared" ref="C6" si="1">COUNTIF(D10:D65,"Đã hoàn thành")</f>
        <v>0</v>
      </c>
      <c r="D6" s="60"/>
      <c r="E6" s="61">
        <f t="shared" ref="E6" si="2">IFERROR(AVERAGE(E10:E65),0)</f>
        <v>0</v>
      </c>
      <c r="F6" s="61"/>
      <c r="G6" s="62" t="str">
        <f t="shared" ref="G6" si="3">IFERROR(AVERAGE(F10:F65),"")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705</v>
      </c>
      <c r="C10" s="18">
        <v>2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706</v>
      </c>
      <c r="C11" s="18">
        <v>7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707</v>
      </c>
      <c r="C12" s="18">
        <v>2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708</v>
      </c>
      <c r="C13" s="18">
        <v>5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709</v>
      </c>
      <c r="C14" s="18">
        <v>3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18">
        <v>6</v>
      </c>
      <c r="B15" s="19" t="s">
        <v>710</v>
      </c>
      <c r="C15" s="18">
        <v>7</v>
      </c>
      <c r="D15" s="20" t="s">
        <v>11</v>
      </c>
      <c r="E15" s="21">
        <v>0</v>
      </c>
      <c r="F15" s="22"/>
      <c r="G15" s="23"/>
      <c r="H15" s="24"/>
    </row>
    <row r="16" spans="1:8" ht="24" customHeight="1" x14ac:dyDescent="0.3">
      <c r="A16" s="18">
        <v>7</v>
      </c>
      <c r="B16" s="19" t="s">
        <v>711</v>
      </c>
      <c r="C16" s="18">
        <v>6</v>
      </c>
      <c r="D16" s="20" t="s">
        <v>11</v>
      </c>
      <c r="E16" s="21">
        <v>0</v>
      </c>
      <c r="F16" s="22"/>
      <c r="G16" s="23"/>
      <c r="H16" s="24"/>
    </row>
    <row r="17" spans="1:8" ht="24" customHeight="1" x14ac:dyDescent="0.3">
      <c r="A17" s="18">
        <v>8</v>
      </c>
      <c r="B17" s="19" t="s">
        <v>712</v>
      </c>
      <c r="C17" s="18">
        <v>4</v>
      </c>
      <c r="D17" s="20" t="s">
        <v>11</v>
      </c>
      <c r="E17" s="21">
        <v>0</v>
      </c>
      <c r="F17" s="22"/>
      <c r="G17" s="23"/>
      <c r="H17" s="24"/>
    </row>
    <row r="18" spans="1:8" ht="24" customHeight="1" x14ac:dyDescent="0.3">
      <c r="A18" s="18">
        <v>9</v>
      </c>
      <c r="B18" s="19" t="s">
        <v>713</v>
      </c>
      <c r="C18" s="18">
        <v>6</v>
      </c>
      <c r="D18" s="20" t="s">
        <v>11</v>
      </c>
      <c r="E18" s="21">
        <v>0</v>
      </c>
      <c r="F18" s="22"/>
      <c r="G18" s="23"/>
      <c r="H18" s="24"/>
    </row>
    <row r="19" spans="1:8" ht="24" customHeight="1" x14ac:dyDescent="0.3">
      <c r="A19" s="18">
        <v>10</v>
      </c>
      <c r="B19" s="19" t="s">
        <v>714</v>
      </c>
      <c r="C19" s="18">
        <v>7</v>
      </c>
      <c r="D19" s="20" t="s">
        <v>11</v>
      </c>
      <c r="E19" s="21">
        <v>0</v>
      </c>
      <c r="F19" s="22"/>
      <c r="G19" s="23"/>
      <c r="H19" s="24"/>
    </row>
    <row r="20" spans="1:8" ht="24" customHeight="1" x14ac:dyDescent="0.3">
      <c r="A20" s="18">
        <v>11</v>
      </c>
      <c r="B20" s="19" t="s">
        <v>715</v>
      </c>
      <c r="C20" s="18">
        <v>4</v>
      </c>
      <c r="D20" s="20" t="s">
        <v>11</v>
      </c>
      <c r="E20" s="21">
        <v>0</v>
      </c>
      <c r="F20" s="22"/>
      <c r="G20" s="23"/>
      <c r="H20" s="24"/>
    </row>
    <row r="21" spans="1:8" ht="24" customHeight="1" x14ac:dyDescent="0.3">
      <c r="A21" s="18">
        <v>12</v>
      </c>
      <c r="B21" s="19" t="s">
        <v>716</v>
      </c>
      <c r="C21" s="18">
        <v>4</v>
      </c>
      <c r="D21" s="20" t="s">
        <v>11</v>
      </c>
      <c r="E21" s="21">
        <v>0</v>
      </c>
      <c r="F21" s="22"/>
      <c r="G21" s="23"/>
      <c r="H21" s="24"/>
    </row>
    <row r="22" spans="1:8" ht="24" customHeight="1" x14ac:dyDescent="0.3">
      <c r="A22" s="18">
        <v>13</v>
      </c>
      <c r="B22" s="19" t="s">
        <v>717</v>
      </c>
      <c r="C22" s="18">
        <v>4</v>
      </c>
      <c r="D22" s="20" t="s">
        <v>11</v>
      </c>
      <c r="E22" s="21">
        <v>0</v>
      </c>
      <c r="F22" s="22"/>
      <c r="G22" s="23"/>
      <c r="H22" s="24"/>
    </row>
    <row r="23" spans="1:8" ht="24" customHeight="1" x14ac:dyDescent="0.3">
      <c r="A23" s="18">
        <v>14</v>
      </c>
      <c r="B23" s="19" t="s">
        <v>718</v>
      </c>
      <c r="C23" s="18">
        <v>6</v>
      </c>
      <c r="D23" s="20" t="s">
        <v>11</v>
      </c>
      <c r="E23" s="21">
        <v>0</v>
      </c>
      <c r="F23" s="22"/>
      <c r="G23" s="23"/>
      <c r="H23" s="24"/>
    </row>
    <row r="24" spans="1:8" ht="24" customHeight="1" x14ac:dyDescent="0.3">
      <c r="A24" s="18">
        <v>15</v>
      </c>
      <c r="B24" s="19" t="s">
        <v>719</v>
      </c>
      <c r="C24" s="18">
        <v>4</v>
      </c>
      <c r="D24" s="20" t="s">
        <v>11</v>
      </c>
      <c r="E24" s="21">
        <v>0</v>
      </c>
      <c r="F24" s="22"/>
      <c r="G24" s="23"/>
      <c r="H24" s="24"/>
    </row>
    <row r="25" spans="1:8" ht="24" customHeight="1" x14ac:dyDescent="0.3">
      <c r="A25" s="18">
        <v>16</v>
      </c>
      <c r="B25" s="19" t="s">
        <v>720</v>
      </c>
      <c r="C25" s="18">
        <v>5</v>
      </c>
      <c r="D25" s="20" t="s">
        <v>11</v>
      </c>
      <c r="E25" s="21">
        <v>0</v>
      </c>
      <c r="F25" s="22"/>
      <c r="G25" s="23"/>
      <c r="H25" s="24"/>
    </row>
    <row r="26" spans="1:8" ht="24" customHeight="1" x14ac:dyDescent="0.3">
      <c r="A26" s="18">
        <v>17</v>
      </c>
      <c r="B26" s="19" t="s">
        <v>721</v>
      </c>
      <c r="C26" s="18">
        <v>2</v>
      </c>
      <c r="D26" s="20" t="s">
        <v>11</v>
      </c>
      <c r="E26" s="21">
        <v>0</v>
      </c>
      <c r="F26" s="22"/>
      <c r="G26" s="23"/>
      <c r="H26" s="24"/>
    </row>
    <row r="27" spans="1:8" ht="24" customHeight="1" x14ac:dyDescent="0.3">
      <c r="A27" s="18">
        <v>18</v>
      </c>
      <c r="B27" s="19" t="s">
        <v>722</v>
      </c>
      <c r="C27" s="18">
        <v>1</v>
      </c>
      <c r="D27" s="20" t="s">
        <v>11</v>
      </c>
      <c r="E27" s="21">
        <v>0</v>
      </c>
      <c r="F27" s="22"/>
      <c r="G27" s="23"/>
      <c r="H27" s="24"/>
    </row>
    <row r="28" spans="1:8" ht="24" customHeight="1" x14ac:dyDescent="0.3">
      <c r="A28" s="18">
        <v>19</v>
      </c>
      <c r="B28" s="19" t="s">
        <v>723</v>
      </c>
      <c r="C28" s="18">
        <v>5</v>
      </c>
      <c r="D28" s="20" t="s">
        <v>11</v>
      </c>
      <c r="E28" s="21">
        <v>0</v>
      </c>
      <c r="F28" s="22"/>
      <c r="G28" s="23"/>
      <c r="H28" s="24"/>
    </row>
    <row r="29" spans="1:8" ht="24" customHeight="1" x14ac:dyDescent="0.3">
      <c r="A29" s="18">
        <v>20</v>
      </c>
      <c r="B29" s="19" t="s">
        <v>724</v>
      </c>
      <c r="C29" s="18">
        <v>6</v>
      </c>
      <c r="D29" s="20" t="s">
        <v>11</v>
      </c>
      <c r="E29" s="21">
        <v>0</v>
      </c>
      <c r="F29" s="22"/>
      <c r="G29" s="23"/>
      <c r="H29" s="24"/>
    </row>
    <row r="30" spans="1:8" ht="24" customHeight="1" x14ac:dyDescent="0.3">
      <c r="A30" s="18">
        <v>21</v>
      </c>
      <c r="B30" s="19" t="s">
        <v>725</v>
      </c>
      <c r="C30" s="18">
        <v>5</v>
      </c>
      <c r="D30" s="20" t="s">
        <v>11</v>
      </c>
      <c r="E30" s="21">
        <v>0</v>
      </c>
      <c r="F30" s="22"/>
      <c r="G30" s="23"/>
      <c r="H30" s="24"/>
    </row>
    <row r="31" spans="1:8" ht="24" customHeight="1" x14ac:dyDescent="0.3">
      <c r="A31" s="18">
        <v>22</v>
      </c>
      <c r="B31" s="19" t="s">
        <v>726</v>
      </c>
      <c r="C31" s="18">
        <v>4</v>
      </c>
      <c r="D31" s="20" t="s">
        <v>11</v>
      </c>
      <c r="E31" s="21">
        <v>0</v>
      </c>
      <c r="F31" s="22"/>
      <c r="G31" s="23"/>
      <c r="H31" s="24"/>
    </row>
    <row r="32" spans="1:8" ht="24" customHeight="1" x14ac:dyDescent="0.3">
      <c r="A32" s="18">
        <v>23</v>
      </c>
      <c r="B32" s="19" t="s">
        <v>727</v>
      </c>
      <c r="C32" s="18">
        <v>5</v>
      </c>
      <c r="D32" s="20" t="s">
        <v>11</v>
      </c>
      <c r="E32" s="21">
        <v>0</v>
      </c>
      <c r="F32" s="22"/>
      <c r="G32" s="23"/>
      <c r="H32" s="24"/>
    </row>
    <row r="33" spans="1:8" ht="24" customHeight="1" x14ac:dyDescent="0.3">
      <c r="A33" s="18">
        <v>24</v>
      </c>
      <c r="B33" s="19" t="s">
        <v>728</v>
      </c>
      <c r="C33" s="18">
        <v>4</v>
      </c>
      <c r="D33" s="20" t="s">
        <v>11</v>
      </c>
      <c r="E33" s="21">
        <v>0</v>
      </c>
      <c r="F33" s="22"/>
      <c r="G33" s="23"/>
      <c r="H33" s="24"/>
    </row>
    <row r="34" spans="1:8" ht="24" customHeight="1" x14ac:dyDescent="0.3">
      <c r="A34" s="18">
        <v>25</v>
      </c>
      <c r="B34" s="19" t="s">
        <v>729</v>
      </c>
      <c r="C34" s="18">
        <v>4</v>
      </c>
      <c r="D34" s="20" t="s">
        <v>11</v>
      </c>
      <c r="E34" s="21">
        <v>0</v>
      </c>
      <c r="F34" s="22"/>
      <c r="G34" s="23"/>
      <c r="H34" s="24"/>
    </row>
    <row r="35" spans="1:8" ht="24" customHeight="1" x14ac:dyDescent="0.3">
      <c r="A35" s="18">
        <v>26</v>
      </c>
      <c r="B35" s="19" t="s">
        <v>730</v>
      </c>
      <c r="C35" s="18">
        <v>6</v>
      </c>
      <c r="D35" s="20" t="s">
        <v>11</v>
      </c>
      <c r="E35" s="21">
        <v>0</v>
      </c>
      <c r="F35" s="22"/>
      <c r="G35" s="23"/>
      <c r="H35" s="24"/>
    </row>
    <row r="36" spans="1:8" ht="24" customHeight="1" x14ac:dyDescent="0.3">
      <c r="A36" s="18">
        <v>27</v>
      </c>
      <c r="B36" s="19" t="s">
        <v>731</v>
      </c>
      <c r="C36" s="18">
        <v>4</v>
      </c>
      <c r="D36" s="20" t="s">
        <v>11</v>
      </c>
      <c r="E36" s="21">
        <v>0</v>
      </c>
      <c r="F36" s="22"/>
      <c r="G36" s="23"/>
      <c r="H36" s="24"/>
    </row>
    <row r="37" spans="1:8" ht="24" customHeight="1" x14ac:dyDescent="0.3">
      <c r="A37" s="18">
        <v>28</v>
      </c>
      <c r="B37" s="19" t="s">
        <v>732</v>
      </c>
      <c r="C37" s="18">
        <v>5</v>
      </c>
      <c r="D37" s="20" t="s">
        <v>11</v>
      </c>
      <c r="E37" s="21">
        <v>0</v>
      </c>
      <c r="F37" s="22"/>
      <c r="G37" s="23"/>
      <c r="H37" s="24"/>
    </row>
    <row r="38" spans="1:8" ht="24" customHeight="1" x14ac:dyDescent="0.3">
      <c r="A38" s="18">
        <v>29</v>
      </c>
      <c r="B38" s="19" t="s">
        <v>733</v>
      </c>
      <c r="C38" s="18">
        <v>4</v>
      </c>
      <c r="D38" s="20" t="s">
        <v>11</v>
      </c>
      <c r="E38" s="21">
        <v>0</v>
      </c>
      <c r="F38" s="22"/>
      <c r="G38" s="23"/>
      <c r="H38" s="24"/>
    </row>
    <row r="39" spans="1:8" ht="24" customHeight="1" x14ac:dyDescent="0.3">
      <c r="A39" s="18">
        <v>30</v>
      </c>
      <c r="B39" s="19" t="s">
        <v>734</v>
      </c>
      <c r="C39" s="18">
        <v>3</v>
      </c>
      <c r="D39" s="20" t="s">
        <v>11</v>
      </c>
      <c r="E39" s="21">
        <v>0</v>
      </c>
      <c r="F39" s="22"/>
      <c r="G39" s="23"/>
      <c r="H39" s="24"/>
    </row>
    <row r="40" spans="1:8" ht="24" customHeight="1" x14ac:dyDescent="0.3">
      <c r="A40" s="18">
        <v>31</v>
      </c>
      <c r="B40" s="19" t="s">
        <v>735</v>
      </c>
      <c r="C40" s="18">
        <v>4</v>
      </c>
      <c r="D40" s="20" t="s">
        <v>11</v>
      </c>
      <c r="E40" s="21">
        <v>0</v>
      </c>
      <c r="F40" s="22"/>
      <c r="G40" s="23"/>
      <c r="H40" s="24"/>
    </row>
    <row r="41" spans="1:8" ht="24" customHeight="1" x14ac:dyDescent="0.3">
      <c r="A41" s="18">
        <v>32</v>
      </c>
      <c r="B41" s="19" t="s">
        <v>736</v>
      </c>
      <c r="C41" s="18">
        <v>3</v>
      </c>
      <c r="D41" s="20" t="s">
        <v>11</v>
      </c>
      <c r="E41" s="21">
        <v>0</v>
      </c>
      <c r="F41" s="22"/>
      <c r="G41" s="23"/>
      <c r="H41" s="24"/>
    </row>
    <row r="42" spans="1:8" ht="24" customHeight="1" x14ac:dyDescent="0.3">
      <c r="A42" s="18">
        <v>33</v>
      </c>
      <c r="B42" s="19" t="s">
        <v>737</v>
      </c>
      <c r="C42" s="18">
        <v>4</v>
      </c>
      <c r="D42" s="20" t="s">
        <v>11</v>
      </c>
      <c r="E42" s="21">
        <v>0</v>
      </c>
      <c r="F42" s="22"/>
      <c r="G42" s="23"/>
      <c r="H42" s="24"/>
    </row>
    <row r="43" spans="1:8" ht="24" customHeight="1" x14ac:dyDescent="0.3">
      <c r="A43" s="18">
        <v>34</v>
      </c>
      <c r="B43" s="19" t="s">
        <v>738</v>
      </c>
      <c r="C43" s="18">
        <v>2</v>
      </c>
      <c r="D43" s="20" t="s">
        <v>11</v>
      </c>
      <c r="E43" s="21">
        <v>0</v>
      </c>
      <c r="F43" s="22"/>
      <c r="G43" s="23"/>
      <c r="H43" s="24"/>
    </row>
    <row r="44" spans="1:8" ht="24" customHeight="1" x14ac:dyDescent="0.3">
      <c r="A44" s="18">
        <v>35</v>
      </c>
      <c r="B44" s="19" t="s">
        <v>739</v>
      </c>
      <c r="C44" s="18">
        <v>6</v>
      </c>
      <c r="D44" s="20" t="s">
        <v>11</v>
      </c>
      <c r="E44" s="21">
        <v>0</v>
      </c>
      <c r="F44" s="22"/>
      <c r="G44" s="23"/>
      <c r="H44" s="24"/>
    </row>
    <row r="45" spans="1:8" ht="24" customHeight="1" x14ac:dyDescent="0.3">
      <c r="A45" s="18">
        <v>36</v>
      </c>
      <c r="B45" s="19" t="s">
        <v>740</v>
      </c>
      <c r="C45" s="18">
        <v>4</v>
      </c>
      <c r="D45" s="20" t="s">
        <v>11</v>
      </c>
      <c r="E45" s="21">
        <v>0</v>
      </c>
      <c r="F45" s="22"/>
      <c r="G45" s="23"/>
      <c r="H45" s="24"/>
    </row>
    <row r="46" spans="1:8" ht="24" customHeight="1" x14ac:dyDescent="0.3">
      <c r="A46" s="18">
        <v>37</v>
      </c>
      <c r="B46" s="19" t="s">
        <v>741</v>
      </c>
      <c r="C46" s="18">
        <v>4</v>
      </c>
      <c r="D46" s="20" t="s">
        <v>11</v>
      </c>
      <c r="E46" s="21">
        <v>0</v>
      </c>
      <c r="F46" s="22"/>
      <c r="G46" s="23"/>
      <c r="H46" s="24"/>
    </row>
    <row r="47" spans="1:8" ht="24" customHeight="1" x14ac:dyDescent="0.3">
      <c r="A47" s="18">
        <v>38</v>
      </c>
      <c r="B47" s="19" t="s">
        <v>742</v>
      </c>
      <c r="C47" s="18">
        <v>4</v>
      </c>
      <c r="D47" s="20" t="s">
        <v>11</v>
      </c>
      <c r="E47" s="21">
        <v>0</v>
      </c>
      <c r="F47" s="22"/>
      <c r="G47" s="23"/>
      <c r="H47" s="24"/>
    </row>
    <row r="48" spans="1:8" ht="24" customHeight="1" x14ac:dyDescent="0.3">
      <c r="A48" s="18">
        <v>39</v>
      </c>
      <c r="B48" s="19" t="s">
        <v>743</v>
      </c>
      <c r="C48" s="18">
        <v>4</v>
      </c>
      <c r="D48" s="20" t="s">
        <v>11</v>
      </c>
      <c r="E48" s="21">
        <v>0</v>
      </c>
      <c r="F48" s="22"/>
      <c r="G48" s="23"/>
      <c r="H48" s="24"/>
    </row>
    <row r="49" spans="1:8" ht="24" customHeight="1" x14ac:dyDescent="0.3">
      <c r="A49" s="18">
        <v>40</v>
      </c>
      <c r="B49" s="19" t="s">
        <v>744</v>
      </c>
      <c r="C49" s="18">
        <v>4</v>
      </c>
      <c r="D49" s="20" t="s">
        <v>11</v>
      </c>
      <c r="E49" s="21">
        <v>0</v>
      </c>
      <c r="F49" s="22"/>
      <c r="G49" s="23"/>
      <c r="H49" s="24"/>
    </row>
    <row r="50" spans="1:8" ht="24" customHeight="1" x14ac:dyDescent="0.3">
      <c r="A50" s="18">
        <v>41</v>
      </c>
      <c r="B50" s="19" t="s">
        <v>745</v>
      </c>
      <c r="C50" s="18">
        <v>4</v>
      </c>
      <c r="D50" s="20" t="s">
        <v>11</v>
      </c>
      <c r="E50" s="21">
        <v>0</v>
      </c>
      <c r="F50" s="22"/>
      <c r="G50" s="23"/>
      <c r="H50" s="24"/>
    </row>
    <row r="51" spans="1:8" ht="24" customHeight="1" x14ac:dyDescent="0.3">
      <c r="A51" s="18">
        <v>42</v>
      </c>
      <c r="B51" s="19" t="s">
        <v>746</v>
      </c>
      <c r="C51" s="18">
        <v>4</v>
      </c>
      <c r="D51" s="20" t="s">
        <v>11</v>
      </c>
      <c r="E51" s="21">
        <v>0</v>
      </c>
      <c r="F51" s="22"/>
      <c r="G51" s="23"/>
      <c r="H51" s="24"/>
    </row>
    <row r="52" spans="1:8" ht="24" customHeight="1" x14ac:dyDescent="0.3">
      <c r="A52" s="18">
        <v>43</v>
      </c>
      <c r="B52" s="19" t="s">
        <v>747</v>
      </c>
      <c r="C52" s="18">
        <v>4</v>
      </c>
      <c r="D52" s="20" t="s">
        <v>11</v>
      </c>
      <c r="E52" s="21">
        <v>0</v>
      </c>
      <c r="F52" s="22"/>
      <c r="G52" s="23"/>
      <c r="H52" s="24"/>
    </row>
    <row r="53" spans="1:8" ht="24" customHeight="1" x14ac:dyDescent="0.3">
      <c r="A53" s="18">
        <v>44</v>
      </c>
      <c r="B53" s="19" t="s">
        <v>748</v>
      </c>
      <c r="C53" s="18">
        <v>4</v>
      </c>
      <c r="D53" s="20" t="s">
        <v>11</v>
      </c>
      <c r="E53" s="21">
        <v>0</v>
      </c>
      <c r="F53" s="22"/>
      <c r="G53" s="23"/>
      <c r="H53" s="24"/>
    </row>
    <row r="54" spans="1:8" ht="24" customHeight="1" x14ac:dyDescent="0.3">
      <c r="A54" s="18">
        <v>45</v>
      </c>
      <c r="B54" s="19" t="s">
        <v>749</v>
      </c>
      <c r="C54" s="18">
        <v>4</v>
      </c>
      <c r="D54" s="20" t="s">
        <v>11</v>
      </c>
      <c r="E54" s="21">
        <v>0</v>
      </c>
      <c r="F54" s="22"/>
      <c r="G54" s="23"/>
      <c r="H54" s="24"/>
    </row>
    <row r="55" spans="1:8" ht="24" customHeight="1" x14ac:dyDescent="0.3">
      <c r="A55" s="18">
        <v>46</v>
      </c>
      <c r="B55" s="19" t="s">
        <v>750</v>
      </c>
      <c r="C55" s="18">
        <v>4</v>
      </c>
      <c r="D55" s="20" t="s">
        <v>11</v>
      </c>
      <c r="E55" s="21">
        <v>0</v>
      </c>
      <c r="F55" s="22"/>
      <c r="G55" s="23"/>
      <c r="H55" s="24"/>
    </row>
    <row r="56" spans="1:8" ht="24" customHeight="1" x14ac:dyDescent="0.3">
      <c r="A56" s="18">
        <v>47</v>
      </c>
      <c r="B56" s="19" t="s">
        <v>751</v>
      </c>
      <c r="C56" s="18">
        <v>4</v>
      </c>
      <c r="D56" s="20" t="s">
        <v>11</v>
      </c>
      <c r="E56" s="21">
        <v>0</v>
      </c>
      <c r="F56" s="22"/>
      <c r="G56" s="23"/>
      <c r="H56" s="24"/>
    </row>
    <row r="57" spans="1:8" ht="24" customHeight="1" x14ac:dyDescent="0.3">
      <c r="A57" s="18">
        <v>48</v>
      </c>
      <c r="B57" s="19" t="s">
        <v>752</v>
      </c>
      <c r="C57" s="18">
        <v>4</v>
      </c>
      <c r="D57" s="20" t="s">
        <v>11</v>
      </c>
      <c r="E57" s="21">
        <v>0</v>
      </c>
      <c r="F57" s="22"/>
      <c r="G57" s="23"/>
      <c r="H57" s="24"/>
    </row>
    <row r="58" spans="1:8" ht="24" customHeight="1" x14ac:dyDescent="0.3">
      <c r="A58" s="18">
        <v>49</v>
      </c>
      <c r="B58" s="19" t="s">
        <v>753</v>
      </c>
      <c r="C58" s="18">
        <v>4</v>
      </c>
      <c r="D58" s="20" t="s">
        <v>11</v>
      </c>
      <c r="E58" s="21">
        <v>0</v>
      </c>
      <c r="F58" s="22"/>
      <c r="G58" s="23"/>
      <c r="H58" s="24"/>
    </row>
    <row r="59" spans="1:8" ht="24" customHeight="1" x14ac:dyDescent="0.3">
      <c r="A59" s="18">
        <v>50</v>
      </c>
      <c r="B59" s="19" t="s">
        <v>754</v>
      </c>
      <c r="C59" s="18">
        <v>4</v>
      </c>
      <c r="D59" s="20" t="s">
        <v>11</v>
      </c>
      <c r="E59" s="21">
        <v>0</v>
      </c>
      <c r="F59" s="22"/>
      <c r="G59" s="23"/>
      <c r="H59" s="24"/>
    </row>
    <row r="60" spans="1:8" ht="24" customHeight="1" x14ac:dyDescent="0.3">
      <c r="A60" s="18">
        <v>51</v>
      </c>
      <c r="B60" s="19" t="s">
        <v>755</v>
      </c>
      <c r="C60" s="18">
        <v>4</v>
      </c>
      <c r="D60" s="20" t="s">
        <v>11</v>
      </c>
      <c r="E60" s="21">
        <v>0</v>
      </c>
      <c r="F60" s="22"/>
      <c r="G60" s="23"/>
      <c r="H60" s="24"/>
    </row>
    <row r="61" spans="1:8" ht="24" customHeight="1" x14ac:dyDescent="0.3">
      <c r="A61" s="18">
        <v>52</v>
      </c>
      <c r="B61" s="19" t="s">
        <v>756</v>
      </c>
      <c r="C61" s="18">
        <v>4</v>
      </c>
      <c r="D61" s="20" t="s">
        <v>11</v>
      </c>
      <c r="E61" s="21">
        <v>0</v>
      </c>
      <c r="F61" s="22"/>
      <c r="G61" s="23"/>
      <c r="H61" s="24"/>
    </row>
    <row r="62" spans="1:8" ht="24" customHeight="1" x14ac:dyDescent="0.3">
      <c r="A62" s="18">
        <v>53</v>
      </c>
      <c r="B62" s="19" t="s">
        <v>757</v>
      </c>
      <c r="C62" s="18">
        <v>4</v>
      </c>
      <c r="D62" s="20" t="s">
        <v>11</v>
      </c>
      <c r="E62" s="21">
        <v>0</v>
      </c>
      <c r="F62" s="22"/>
      <c r="G62" s="23"/>
      <c r="H62" s="24"/>
    </row>
    <row r="63" spans="1:8" ht="24" customHeight="1" x14ac:dyDescent="0.3">
      <c r="A63" s="18">
        <v>54</v>
      </c>
      <c r="B63" s="19" t="s">
        <v>758</v>
      </c>
      <c r="C63" s="18">
        <v>4</v>
      </c>
      <c r="D63" s="20" t="s">
        <v>11</v>
      </c>
      <c r="E63" s="21">
        <v>0</v>
      </c>
      <c r="F63" s="22"/>
      <c r="G63" s="23"/>
      <c r="H63" s="24"/>
    </row>
    <row r="64" spans="1:8" ht="24" customHeight="1" x14ac:dyDescent="0.3">
      <c r="A64" s="18">
        <v>55</v>
      </c>
      <c r="B64" s="19" t="s">
        <v>759</v>
      </c>
      <c r="C64" s="18">
        <v>2</v>
      </c>
      <c r="D64" s="20" t="s">
        <v>11</v>
      </c>
      <c r="E64" s="21">
        <v>0</v>
      </c>
      <c r="F64" s="22"/>
      <c r="G64" s="23"/>
      <c r="H64" s="24"/>
    </row>
    <row r="65" spans="1:8" ht="24" customHeight="1" x14ac:dyDescent="0.3">
      <c r="A65" s="25">
        <v>56</v>
      </c>
      <c r="B65" s="26" t="s">
        <v>760</v>
      </c>
      <c r="C65" s="25">
        <v>1</v>
      </c>
      <c r="D65" s="27" t="s">
        <v>11</v>
      </c>
      <c r="E65" s="28">
        <v>0</v>
      </c>
      <c r="F65" s="29"/>
      <c r="G65" s="30"/>
      <c r="H65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65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65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65" xr:uid="{068F5804-13FA-44F0-9BAD-5B5532C20269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65" xr:uid="{98755E65-1108-4213-BBD3-3964F629D4C5}">
      <formula1>0</formula1>
      <formula2>1</formula2>
    </dataValidation>
    <dataValidation type="decimal" allowBlank="1" showInputMessage="1" showErrorMessage="1" errorTitle="Giá trị không hợp lệ" error="Nhập điểm từ 0 đến 10." sqref="F10:F65" xr:uid="{341CA173-3021-4C6D-802D-846BBEE68E8C}">
      <formula1>0</formula1>
      <formula2>10</formula2>
    </dataValidation>
  </dataValidations>
  <hyperlinks>
    <hyperlink ref="B3" r:id="rId1" display="06 - Ngôn ngữ/02 - Tiếng Trung/mandarin-mastery-path" xr:uid="{645DF3FE-01D9-463D-B1E2-39E9FAAAEB47}"/>
  </hyperlinks>
  <pageMargins left="0.7" right="0.7" top="0.75" bottom="0.75" header="0.3" footer="0.3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50250-8F1A-4D92-92A5-B2CC2FE774C1}">
  <sheetPr>
    <tabColor rgb="FF0D9488"/>
  </sheetPr>
  <dimension ref="A1:H15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692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693</v>
      </c>
      <c r="C2" s="16" t="s">
        <v>25</v>
      </c>
      <c r="D2" s="15" t="s">
        <v>670</v>
      </c>
      <c r="E2" s="16" t="s">
        <v>26</v>
      </c>
      <c r="F2" s="15" t="s">
        <v>694</v>
      </c>
      <c r="G2" s="15"/>
      <c r="H2" s="15"/>
    </row>
    <row r="3" spans="1:8" ht="30" customHeight="1" x14ac:dyDescent="0.3">
      <c r="A3" s="16" t="s">
        <v>27</v>
      </c>
      <c r="B3" s="56" t="s">
        <v>695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COUNTA(B10:B15)</f>
        <v>6</v>
      </c>
      <c r="B6" s="59"/>
      <c r="C6" s="60">
        <f t="shared" ref="C6" si="1">COUNTIF(D10:D15,"Đã hoàn thành")</f>
        <v>0</v>
      </c>
      <c r="D6" s="60"/>
      <c r="E6" s="61">
        <f t="shared" ref="E6" si="2">IFERROR(AVERAGE(E10:E15),0)</f>
        <v>0</v>
      </c>
      <c r="F6" s="61"/>
      <c r="G6" s="62" t="str">
        <f t="shared" ref="G6" si="3">IFERROR(AVERAGE(F10:F15),"")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696</v>
      </c>
      <c r="C10" s="18">
        <v>15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697</v>
      </c>
      <c r="C11" s="18">
        <v>15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698</v>
      </c>
      <c r="C12" s="18">
        <v>10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699</v>
      </c>
      <c r="C13" s="18">
        <v>10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700</v>
      </c>
      <c r="C14" s="18">
        <v>13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25">
        <v>6</v>
      </c>
      <c r="B15" s="26" t="s">
        <v>701</v>
      </c>
      <c r="C15" s="25">
        <v>13</v>
      </c>
      <c r="D15" s="27" t="s">
        <v>11</v>
      </c>
      <c r="E15" s="28">
        <v>0</v>
      </c>
      <c r="F15" s="29"/>
      <c r="G15" s="30"/>
      <c r="H15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15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15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15" xr:uid="{BE5BE7BB-1C5A-4B85-8303-D799B17D4B29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15" xr:uid="{5C8C60A8-B8A0-4CC4-8FAA-04DB48DC77A4}">
      <formula1>0</formula1>
      <formula2>1</formula2>
    </dataValidation>
    <dataValidation type="decimal" allowBlank="1" showInputMessage="1" showErrorMessage="1" errorTitle="Giá trị không hợp lệ" error="Nhập điểm từ 0 đến 10." sqref="F10:F15" xr:uid="{AD165EFE-5D00-4B92-8764-7FBF6D2CF5BC}">
      <formula1>0</formula1>
      <formula2>10</formula2>
    </dataValidation>
  </dataValidations>
  <hyperlinks>
    <hyperlink ref="B3" r:id="rId1" display="06 - Ngôn ngữ/02 - Tiếng Trung/khoa-hoc-tieng-trung" xr:uid="{C9AE4C93-9944-48E3-AF6B-EDA762D42861}"/>
  </hyperlinks>
  <pageMargins left="0.7" right="0.7" top="0.75" bottom="0.75" header="0.3" footer="0.3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50FA-80EE-4051-A29A-F2F10D5BB333}">
  <sheetPr>
    <tabColor rgb="FF0D9488"/>
  </sheetPr>
  <dimension ref="A1:H10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688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689</v>
      </c>
      <c r="C2" s="16" t="s">
        <v>25</v>
      </c>
      <c r="D2" s="15" t="s">
        <v>670</v>
      </c>
      <c r="E2" s="16" t="s">
        <v>26</v>
      </c>
      <c r="F2" s="15" t="s">
        <v>671</v>
      </c>
      <c r="G2" s="15"/>
      <c r="H2" s="15"/>
    </row>
    <row r="3" spans="1:8" ht="30" customHeight="1" x14ac:dyDescent="0.3">
      <c r="A3" s="16" t="s">
        <v>27</v>
      </c>
      <c r="B3" s="56" t="s">
        <v>690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COUNTA(B10:B10)</f>
        <v>1</v>
      </c>
      <c r="B6" s="59"/>
      <c r="C6" s="60">
        <f t="shared" ref="C6" si="1">COUNTIF(D10:D10,"Đã hoàn thành")</f>
        <v>0</v>
      </c>
      <c r="D6" s="60"/>
      <c r="E6" s="61">
        <f t="shared" ref="E6" si="2">IFERROR(AVERAGE(E10:E10),0)</f>
        <v>0</v>
      </c>
      <c r="F6" s="61"/>
      <c r="G6" s="62" t="str">
        <f t="shared" ref="G6" si="3">IFERROR(AVERAGE(F10:F10),"")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25">
        <v>1</v>
      </c>
      <c r="B10" s="26" t="s">
        <v>691</v>
      </c>
      <c r="C10" s="25">
        <v>25</v>
      </c>
      <c r="D10" s="27" t="s">
        <v>11</v>
      </c>
      <c r="E10" s="28">
        <v>0</v>
      </c>
      <c r="F10" s="29"/>
      <c r="G10" s="30"/>
      <c r="H10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" xr:uid="{8044048A-9E59-4549-A88E-5487EF674DB3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" xr:uid="{F01B4A75-CE7A-45EA-8684-134C5DA21BA9}">
      <formula1>0</formula1>
      <formula2>1</formula2>
    </dataValidation>
    <dataValidation type="decimal" allowBlank="1" showInputMessage="1" showErrorMessage="1" errorTitle="Giá trị không hợp lệ" error="Nhập điểm từ 0 đến 10." sqref="F10" xr:uid="{48A5911D-D8F5-4758-994A-EC225ED55C17}">
      <formula1>0</formula1>
      <formula2>10</formula2>
    </dataValidation>
  </dataValidations>
  <hyperlinks>
    <hyperlink ref="B3" r:id="rId1" display="06 - Ngôn ngữ/01 - Tiếng Anh/tu-vung-tieng-anh-co-ban" xr:uid="{7046175A-321C-4C12-8E70-2BA513C538D7}"/>
  </hyperlinks>
  <pageMargins left="0.7" right="0.7" top="0.75" bottom="0.75" header="0.3" footer="0.3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044D2-38A2-4A06-9336-1FC37AFF7C23}">
  <sheetPr>
    <tabColor rgb="FF0D9488"/>
  </sheetPr>
  <dimension ref="A1:H15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679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680</v>
      </c>
      <c r="C2" s="16" t="s">
        <v>25</v>
      </c>
      <c r="D2" s="15" t="s">
        <v>670</v>
      </c>
      <c r="E2" s="16" t="s">
        <v>26</v>
      </c>
      <c r="F2" s="15" t="s">
        <v>671</v>
      </c>
      <c r="G2" s="15"/>
      <c r="H2" s="15"/>
    </row>
    <row r="3" spans="1:8" ht="30" customHeight="1" x14ac:dyDescent="0.3">
      <c r="A3" s="16" t="s">
        <v>27</v>
      </c>
      <c r="B3" s="56" t="s">
        <v>681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COUNTA(B10:B15)</f>
        <v>6</v>
      </c>
      <c r="B6" s="59"/>
      <c r="C6" s="60">
        <f t="shared" ref="C6" si="1">COUNTIF(D10:D15,"Đã hoàn thành")</f>
        <v>0</v>
      </c>
      <c r="D6" s="60"/>
      <c r="E6" s="61">
        <f t="shared" ref="E6" si="2">IFERROR(AVERAGE(E10:E15),0)</f>
        <v>0</v>
      </c>
      <c r="F6" s="61"/>
      <c r="G6" s="62" t="str">
        <f t="shared" ref="G6" si="3">IFERROR(AVERAGE(F10:F15),"")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682</v>
      </c>
      <c r="C10" s="18">
        <v>8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683</v>
      </c>
      <c r="C11" s="18">
        <v>8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684</v>
      </c>
      <c r="C12" s="18">
        <v>11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685</v>
      </c>
      <c r="C13" s="18">
        <v>3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686</v>
      </c>
      <c r="C14" s="18">
        <v>6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25">
        <v>6</v>
      </c>
      <c r="B15" s="26" t="s">
        <v>687</v>
      </c>
      <c r="C15" s="25">
        <v>3</v>
      </c>
      <c r="D15" s="27" t="s">
        <v>11</v>
      </c>
      <c r="E15" s="28">
        <v>0</v>
      </c>
      <c r="F15" s="29"/>
      <c r="G15" s="30"/>
      <c r="H15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15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15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15" xr:uid="{EA9D7CFD-DAED-469B-BC25-7CA86F5F4FAF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15" xr:uid="{82C7BC83-B3A4-46E7-B89A-6ACC467F2840}">
      <formula1>0</formula1>
      <formula2>1</formula2>
    </dataValidation>
    <dataValidation type="decimal" allowBlank="1" showInputMessage="1" showErrorMessage="1" errorTitle="Giá trị không hợp lệ" error="Nhập điểm từ 0 đến 10." sqref="F10:F15" xr:uid="{1C2BBB6E-0EFB-43F1-ABA4-90B1723F9B99}">
      <formula1>0</formula1>
      <formula2>10</formula2>
    </dataValidation>
  </dataValidations>
  <hyperlinks>
    <hyperlink ref="B3" r:id="rId1" display="06 - Ngôn ngữ/01 - Tiếng Anh/tu-hoc-2000-tu-vung-tieng-anh" xr:uid="{1FE3B9E9-E9E9-4583-AB88-E2D24A08F41E}"/>
  </hyperlinks>
  <pageMargins left="0.7" right="0.7" top="0.75" bottom="0.75" header="0.3" footer="0.3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FF071-5449-4DFB-A3D4-AC93BF26D240}">
  <sheetPr>
    <tabColor rgb="FF0D9488"/>
  </sheetPr>
  <dimension ref="A1:H15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668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669</v>
      </c>
      <c r="C2" s="16" t="s">
        <v>25</v>
      </c>
      <c r="D2" s="15" t="s">
        <v>670</v>
      </c>
      <c r="E2" s="16" t="s">
        <v>26</v>
      </c>
      <c r="F2" s="15" t="s">
        <v>671</v>
      </c>
      <c r="G2" s="15"/>
      <c r="H2" s="15"/>
    </row>
    <row r="3" spans="1:8" ht="30" customHeight="1" x14ac:dyDescent="0.3">
      <c r="A3" s="16" t="s">
        <v>27</v>
      </c>
      <c r="B3" s="56" t="s">
        <v>672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COUNTA(B10:B15)</f>
        <v>6</v>
      </c>
      <c r="B6" s="59"/>
      <c r="C6" s="60">
        <f t="shared" ref="C6" si="1">COUNTIF(D10:D15,"Đã hoàn thành")</f>
        <v>0</v>
      </c>
      <c r="D6" s="60"/>
      <c r="E6" s="61">
        <f t="shared" ref="E6" si="2">IFERROR(AVERAGE(E10:E15),0)</f>
        <v>0</v>
      </c>
      <c r="F6" s="61"/>
      <c r="G6" s="62" t="str">
        <f t="shared" ref="G6" si="3">IFERROR(AVERAGE(F10:F15),"")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673</v>
      </c>
      <c r="C10" s="18">
        <v>8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674</v>
      </c>
      <c r="C11" s="18">
        <v>384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675</v>
      </c>
      <c r="C12" s="18">
        <v>18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676</v>
      </c>
      <c r="C13" s="18">
        <v>22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677</v>
      </c>
      <c r="C14" s="18">
        <v>49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25">
        <v>6</v>
      </c>
      <c r="B15" s="26" t="s">
        <v>678</v>
      </c>
      <c r="C15" s="25">
        <v>4</v>
      </c>
      <c r="D15" s="27" t="s">
        <v>11</v>
      </c>
      <c r="E15" s="28">
        <v>0</v>
      </c>
      <c r="F15" s="29"/>
      <c r="G15" s="30"/>
      <c r="H15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15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15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15" xr:uid="{35F8A429-9022-483E-A1BD-B0FE687BF646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15" xr:uid="{BCD88B36-333D-4B39-99CA-64D9B0DD6C20}">
      <formula1>0</formula1>
      <formula2>1</formula2>
    </dataValidation>
    <dataValidation type="decimal" allowBlank="1" showInputMessage="1" showErrorMessage="1" errorTitle="Giá trị không hợp lệ" error="Nhập điểm từ 0 đến 10." sqref="F10:F15" xr:uid="{9DCEE4BF-2B1C-4E39-A362-DB6F0A1CC4FC}">
      <formula1>0</formula1>
      <formula2>10</formula2>
    </dataValidation>
  </dataValidations>
  <hyperlinks>
    <hyperlink ref="B3" r:id="rId1" display="06 - Ngôn ngữ/01 - Tiếng Anh/the-english-master-course-english-grammar-speaking" xr:uid="{25B0EAE9-936A-47FB-A93F-30DF10BFD693}"/>
  </hyperlinks>
  <pageMargins left="0.7" right="0.7" top="0.75" bottom="0.75" header="0.3" footer="0.3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0EC9F-E35D-4479-8761-BF565B2241FC}">
  <sheetPr>
    <tabColor rgb="FF0D9488"/>
  </sheetPr>
  <dimension ref="A1:H29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645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646</v>
      </c>
      <c r="C2" s="16" t="s">
        <v>25</v>
      </c>
      <c r="D2" s="15" t="s">
        <v>587</v>
      </c>
      <c r="E2" s="16" t="s">
        <v>26</v>
      </c>
      <c r="F2" s="15" t="s">
        <v>647</v>
      </c>
      <c r="G2" s="15"/>
      <c r="H2" s="15"/>
    </row>
    <row r="3" spans="1:8" ht="30" customHeight="1" x14ac:dyDescent="0.3">
      <c r="A3" s="16" t="s">
        <v>27</v>
      </c>
      <c r="B3" s="56" t="s">
        <v>648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COUNTA(B10:B29)</f>
        <v>20</v>
      </c>
      <c r="B6" s="59"/>
      <c r="C6" s="60">
        <f t="shared" ref="C6" si="1">COUNTIF(D10:D29,"Đã hoàn thành")</f>
        <v>0</v>
      </c>
      <c r="D6" s="60"/>
      <c r="E6" s="61">
        <f t="shared" ref="E6" si="2">IFERROR(AVERAGE(E10:E29),0)</f>
        <v>0</v>
      </c>
      <c r="F6" s="61"/>
      <c r="G6" s="62" t="str">
        <f t="shared" ref="G6" si="3">IFERROR(AVERAGE(F10:F29),"")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222</v>
      </c>
      <c r="C10" s="18">
        <v>8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649</v>
      </c>
      <c r="C11" s="18">
        <v>5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650</v>
      </c>
      <c r="C12" s="18">
        <v>12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651</v>
      </c>
      <c r="C13" s="18">
        <v>11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652</v>
      </c>
      <c r="C14" s="18">
        <v>9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18">
        <v>6</v>
      </c>
      <c r="B15" s="19" t="s">
        <v>653</v>
      </c>
      <c r="C15" s="18">
        <v>8</v>
      </c>
      <c r="D15" s="20" t="s">
        <v>11</v>
      </c>
      <c r="E15" s="21">
        <v>0</v>
      </c>
      <c r="F15" s="22"/>
      <c r="G15" s="23"/>
      <c r="H15" s="24"/>
    </row>
    <row r="16" spans="1:8" ht="24" customHeight="1" x14ac:dyDescent="0.3">
      <c r="A16" s="18">
        <v>7</v>
      </c>
      <c r="B16" s="19" t="s">
        <v>654</v>
      </c>
      <c r="C16" s="18">
        <v>5</v>
      </c>
      <c r="D16" s="20" t="s">
        <v>11</v>
      </c>
      <c r="E16" s="21">
        <v>0</v>
      </c>
      <c r="F16" s="22"/>
      <c r="G16" s="23"/>
      <c r="H16" s="24"/>
    </row>
    <row r="17" spans="1:8" ht="24" customHeight="1" x14ac:dyDescent="0.3">
      <c r="A17" s="18">
        <v>8</v>
      </c>
      <c r="B17" s="19" t="s">
        <v>655</v>
      </c>
      <c r="C17" s="18">
        <v>5</v>
      </c>
      <c r="D17" s="20" t="s">
        <v>11</v>
      </c>
      <c r="E17" s="21">
        <v>0</v>
      </c>
      <c r="F17" s="22"/>
      <c r="G17" s="23"/>
      <c r="H17" s="24"/>
    </row>
    <row r="18" spans="1:8" ht="24" customHeight="1" x14ac:dyDescent="0.3">
      <c r="A18" s="18">
        <v>9</v>
      </c>
      <c r="B18" s="19" t="s">
        <v>656</v>
      </c>
      <c r="C18" s="18">
        <v>11</v>
      </c>
      <c r="D18" s="20" t="s">
        <v>11</v>
      </c>
      <c r="E18" s="21">
        <v>0</v>
      </c>
      <c r="F18" s="22"/>
      <c r="G18" s="23"/>
      <c r="H18" s="24"/>
    </row>
    <row r="19" spans="1:8" ht="24" customHeight="1" x14ac:dyDescent="0.3">
      <c r="A19" s="18">
        <v>10</v>
      </c>
      <c r="B19" s="19" t="s">
        <v>657</v>
      </c>
      <c r="C19" s="18">
        <v>14</v>
      </c>
      <c r="D19" s="20" t="s">
        <v>11</v>
      </c>
      <c r="E19" s="21">
        <v>0</v>
      </c>
      <c r="F19" s="22"/>
      <c r="G19" s="23"/>
      <c r="H19" s="24"/>
    </row>
    <row r="20" spans="1:8" ht="24" customHeight="1" x14ac:dyDescent="0.3">
      <c r="A20" s="18">
        <v>11</v>
      </c>
      <c r="B20" s="19" t="s">
        <v>658</v>
      </c>
      <c r="C20" s="18">
        <v>14</v>
      </c>
      <c r="D20" s="20" t="s">
        <v>11</v>
      </c>
      <c r="E20" s="21">
        <v>0</v>
      </c>
      <c r="F20" s="22"/>
      <c r="G20" s="23"/>
      <c r="H20" s="24"/>
    </row>
    <row r="21" spans="1:8" ht="24" customHeight="1" x14ac:dyDescent="0.3">
      <c r="A21" s="18">
        <v>12</v>
      </c>
      <c r="B21" s="19" t="s">
        <v>659</v>
      </c>
      <c r="C21" s="18">
        <v>12</v>
      </c>
      <c r="D21" s="20" t="s">
        <v>11</v>
      </c>
      <c r="E21" s="21">
        <v>0</v>
      </c>
      <c r="F21" s="22"/>
      <c r="G21" s="23"/>
      <c r="H21" s="24"/>
    </row>
    <row r="22" spans="1:8" ht="24" customHeight="1" x14ac:dyDescent="0.3">
      <c r="A22" s="18">
        <v>13</v>
      </c>
      <c r="B22" s="19" t="s">
        <v>660</v>
      </c>
      <c r="C22" s="18">
        <v>11</v>
      </c>
      <c r="D22" s="20" t="s">
        <v>11</v>
      </c>
      <c r="E22" s="21">
        <v>0</v>
      </c>
      <c r="F22" s="22"/>
      <c r="G22" s="23"/>
      <c r="H22" s="24"/>
    </row>
    <row r="23" spans="1:8" ht="24" customHeight="1" x14ac:dyDescent="0.3">
      <c r="A23" s="18">
        <v>14</v>
      </c>
      <c r="B23" s="19" t="s">
        <v>661</v>
      </c>
      <c r="C23" s="18">
        <v>17</v>
      </c>
      <c r="D23" s="20" t="s">
        <v>11</v>
      </c>
      <c r="E23" s="21">
        <v>0</v>
      </c>
      <c r="F23" s="22"/>
      <c r="G23" s="23"/>
      <c r="H23" s="24"/>
    </row>
    <row r="24" spans="1:8" ht="24" customHeight="1" x14ac:dyDescent="0.3">
      <c r="A24" s="18">
        <v>15</v>
      </c>
      <c r="B24" s="19" t="s">
        <v>662</v>
      </c>
      <c r="C24" s="18">
        <v>40</v>
      </c>
      <c r="D24" s="20" t="s">
        <v>11</v>
      </c>
      <c r="E24" s="21">
        <v>0</v>
      </c>
      <c r="F24" s="22"/>
      <c r="G24" s="23"/>
      <c r="H24" s="24"/>
    </row>
    <row r="25" spans="1:8" ht="24" customHeight="1" x14ac:dyDescent="0.3">
      <c r="A25" s="18">
        <v>16</v>
      </c>
      <c r="B25" s="19" t="s">
        <v>663</v>
      </c>
      <c r="C25" s="18">
        <v>1</v>
      </c>
      <c r="D25" s="20" t="s">
        <v>11</v>
      </c>
      <c r="E25" s="21">
        <v>0</v>
      </c>
      <c r="F25" s="22"/>
      <c r="G25" s="23"/>
      <c r="H25" s="24"/>
    </row>
    <row r="26" spans="1:8" ht="24" customHeight="1" x14ac:dyDescent="0.3">
      <c r="A26" s="18">
        <v>17</v>
      </c>
      <c r="B26" s="19" t="s">
        <v>664</v>
      </c>
      <c r="C26" s="18">
        <v>13</v>
      </c>
      <c r="D26" s="20" t="s">
        <v>11</v>
      </c>
      <c r="E26" s="21">
        <v>0</v>
      </c>
      <c r="F26" s="22"/>
      <c r="G26" s="23"/>
      <c r="H26" s="24"/>
    </row>
    <row r="27" spans="1:8" ht="24" customHeight="1" x14ac:dyDescent="0.3">
      <c r="A27" s="18">
        <v>18</v>
      </c>
      <c r="B27" s="19" t="s">
        <v>665</v>
      </c>
      <c r="C27" s="18">
        <v>7</v>
      </c>
      <c r="D27" s="20" t="s">
        <v>11</v>
      </c>
      <c r="E27" s="21">
        <v>0</v>
      </c>
      <c r="F27" s="22"/>
      <c r="G27" s="23"/>
      <c r="H27" s="24"/>
    </row>
    <row r="28" spans="1:8" ht="24" customHeight="1" x14ac:dyDescent="0.3">
      <c r="A28" s="18">
        <v>19</v>
      </c>
      <c r="B28" s="19" t="s">
        <v>666</v>
      </c>
      <c r="C28" s="18">
        <v>1</v>
      </c>
      <c r="D28" s="20" t="s">
        <v>11</v>
      </c>
      <c r="E28" s="21">
        <v>0</v>
      </c>
      <c r="F28" s="22"/>
      <c r="G28" s="23"/>
      <c r="H28" s="24"/>
    </row>
    <row r="29" spans="1:8" ht="24" customHeight="1" x14ac:dyDescent="0.3">
      <c r="A29" s="25">
        <v>20</v>
      </c>
      <c r="B29" s="26" t="s">
        <v>667</v>
      </c>
      <c r="C29" s="25">
        <v>18</v>
      </c>
      <c r="D29" s="27" t="s">
        <v>11</v>
      </c>
      <c r="E29" s="28">
        <v>0</v>
      </c>
      <c r="F29" s="29"/>
      <c r="G29" s="30"/>
      <c r="H29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29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29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29" xr:uid="{AB3B19A2-F9C4-4B0D-9660-5BBF9E6E5B77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29" xr:uid="{BBBF76CD-4E4D-4992-A124-83CF393470F2}">
      <formula1>0</formula1>
      <formula2>1</formula2>
    </dataValidation>
    <dataValidation type="decimal" allowBlank="1" showInputMessage="1" showErrorMessage="1" errorTitle="Giá trị không hợp lệ" error="Nhập điểm từ 0 đến 10." sqref="F10:F29" xr:uid="{9B7531C9-0BB7-4EBB-8616-2E619668BA82}">
      <formula1>0</formula1>
      <formula2>10</formula2>
    </dataValidation>
  </dataValidations>
  <hyperlinks>
    <hyperlink ref="B3" r:id="rId1" display="05 - Phát triển game/05 - Game Art/pixel-art-master-course-beginner-to-professional-freelance" xr:uid="{B57308EE-1333-4DAF-94CA-B1FB2FC01DF1}"/>
  </hyperlinks>
  <pageMargins left="0.7" right="0.7" top="0.75" bottom="0.75" header="0.3" footer="0.3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35E12-99D6-44CD-B830-8CA54AF4F180}">
  <sheetPr>
    <tabColor rgb="FF0D9488"/>
  </sheetPr>
  <dimension ref="A1:H10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641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642</v>
      </c>
      <c r="C2" s="16" t="s">
        <v>25</v>
      </c>
      <c r="D2" s="15" t="s">
        <v>587</v>
      </c>
      <c r="E2" s="16" t="s">
        <v>26</v>
      </c>
      <c r="F2" s="15" t="s">
        <v>638</v>
      </c>
      <c r="G2" s="15"/>
      <c r="H2" s="15"/>
    </row>
    <row r="3" spans="1:8" ht="30" customHeight="1" x14ac:dyDescent="0.3">
      <c r="A3" s="16" t="s">
        <v>27</v>
      </c>
      <c r="B3" s="56" t="s">
        <v>643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COUNTA(B10:B10)</f>
        <v>1</v>
      </c>
      <c r="B6" s="59"/>
      <c r="C6" s="60">
        <f t="shared" ref="C6" si="1">COUNTIF(D10:D10,"Đã hoàn thành")</f>
        <v>0</v>
      </c>
      <c r="D6" s="60"/>
      <c r="E6" s="61">
        <f t="shared" ref="E6" si="2">IFERROR(AVERAGE(E10:E10),0)</f>
        <v>0</v>
      </c>
      <c r="F6" s="61"/>
      <c r="G6" s="62" t="str">
        <f t="shared" ref="G6" si="3">IFERROR(AVERAGE(F10:F10),"")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25">
        <v>1</v>
      </c>
      <c r="B10" s="26" t="s">
        <v>644</v>
      </c>
      <c r="C10" s="25">
        <v>79</v>
      </c>
      <c r="D10" s="27" t="s">
        <v>11</v>
      </c>
      <c r="E10" s="28">
        <v>0</v>
      </c>
      <c r="F10" s="29"/>
      <c r="G10" s="30"/>
      <c r="H10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" xr:uid="{3B2942F0-1CCA-49C1-9FD5-0CC6F5B9A5E3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" xr:uid="{8833830F-B880-4BFD-8ABD-48D3311556D3}">
      <formula1>0</formula1>
      <formula2>1</formula2>
    </dataValidation>
    <dataValidation type="decimal" allowBlank="1" showInputMessage="1" showErrorMessage="1" errorTitle="Giá trị không hợp lệ" error="Nhập điểm từ 0 đến 10." sqref="F10" xr:uid="{D82B725E-A777-452E-A248-D30DD99AEBDD}">
      <formula1>0</formula1>
      <formula2>10</formula2>
    </dataValidation>
  </dataValidations>
  <hyperlinks>
    <hyperlink ref="B3" r:id="rId1" display="05 - Phát triển game/04 - Game Development Roadmaps/server-side-game-developer-roadmap" xr:uid="{06FDBFC1-70CC-435B-AD79-A35431D21706}"/>
  </hyperlinks>
  <pageMargins left="0.7" right="0.7" top="0.75" bottom="0.75" header="0.3" footer="0.3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98CC6-6229-4637-A51A-3444409A8104}">
  <sheetPr>
    <tabColor rgb="FF0D9488"/>
  </sheetPr>
  <dimension ref="A1:H10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636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637</v>
      </c>
      <c r="C2" s="16" t="s">
        <v>25</v>
      </c>
      <c r="D2" s="15" t="s">
        <v>587</v>
      </c>
      <c r="E2" s="16" t="s">
        <v>26</v>
      </c>
      <c r="F2" s="15" t="s">
        <v>638</v>
      </c>
      <c r="G2" s="15"/>
      <c r="H2" s="15"/>
    </row>
    <row r="3" spans="1:8" ht="30" customHeight="1" x14ac:dyDescent="0.3">
      <c r="A3" s="16" t="s">
        <v>27</v>
      </c>
      <c r="B3" s="56" t="s">
        <v>639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COUNTA(B10:B10)</f>
        <v>1</v>
      </c>
      <c r="B6" s="59"/>
      <c r="C6" s="60">
        <f t="shared" ref="C6" si="1">COUNTIF(D10:D10,"Đã hoàn thành")</f>
        <v>0</v>
      </c>
      <c r="D6" s="60"/>
      <c r="E6" s="61">
        <f t="shared" ref="E6" si="2">IFERROR(AVERAGE(E10:E10),0)</f>
        <v>0</v>
      </c>
      <c r="F6" s="61"/>
      <c r="G6" s="62" t="str">
        <f t="shared" ref="G6" si="3">IFERROR(AVERAGE(F10:F10),"")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25">
        <v>1</v>
      </c>
      <c r="B10" s="26" t="s">
        <v>640</v>
      </c>
      <c r="C10" s="25">
        <v>32</v>
      </c>
      <c r="D10" s="27" t="s">
        <v>11</v>
      </c>
      <c r="E10" s="28">
        <v>0</v>
      </c>
      <c r="F10" s="29"/>
      <c r="G10" s="30"/>
      <c r="H10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" xr:uid="{B210FF26-494E-4003-B5A0-FDBD85891DB0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" xr:uid="{A53B0492-2A80-4D01-A12D-835098F1D517}">
      <formula1>0</formula1>
      <formula2>1</formula2>
    </dataValidation>
    <dataValidation type="decimal" allowBlank="1" showInputMessage="1" showErrorMessage="1" errorTitle="Giá trị không hợp lệ" error="Nhập điểm từ 0 đến 10." sqref="F10" xr:uid="{C04530EB-309C-45CC-B999-6865B1184EA1}">
      <formula1>0</formula1>
      <formula2>10</formula2>
    </dataValidation>
  </dataValidations>
  <hyperlinks>
    <hyperlink ref="B3" r:id="rId1" display="05 - Phát triển game/04 - Game Development Roadmaps/game-developer-roadmap" xr:uid="{B3423364-B610-454C-938B-93F8E8214A22}"/>
  </hyperlinks>
  <pageMargins left="0.7" right="0.7" top="0.75" bottom="0.75" header="0.3" footer="0.3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D976E-71CC-420A-AE5A-664C6C9F38D0}">
  <sheetPr>
    <tabColor rgb="FF0D9488"/>
  </sheetPr>
  <dimension ref="A1:H17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625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626</v>
      </c>
      <c r="C2" s="16" t="s">
        <v>25</v>
      </c>
      <c r="D2" s="15" t="s">
        <v>587</v>
      </c>
      <c r="E2" s="16" t="s">
        <v>26</v>
      </c>
      <c r="F2" s="15" t="s">
        <v>627</v>
      </c>
      <c r="G2" s="15"/>
      <c r="H2" s="15"/>
    </row>
    <row r="3" spans="1:8" ht="30" customHeight="1" x14ac:dyDescent="0.3">
      <c r="A3" s="16" t="s">
        <v>27</v>
      </c>
      <c r="B3" s="56" t="s">
        <v>628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COUNTA(B10:B17)</f>
        <v>8</v>
      </c>
      <c r="B6" s="59"/>
      <c r="C6" s="60">
        <f t="shared" ref="C6" si="1">COUNTIF(D10:D17,"Đã hoàn thành")</f>
        <v>0</v>
      </c>
      <c r="D6" s="60"/>
      <c r="E6" s="61">
        <f t="shared" ref="E6" si="2">IFERROR(AVERAGE(E10:E17),0)</f>
        <v>0</v>
      </c>
      <c r="F6" s="61"/>
      <c r="G6" s="62" t="str">
        <f t="shared" ref="G6" si="3">IFERROR(AVERAGE(F10:F17),"")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62</v>
      </c>
      <c r="C10" s="18">
        <v>2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629</v>
      </c>
      <c r="C11" s="18">
        <v>6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630</v>
      </c>
      <c r="C12" s="18">
        <v>1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631</v>
      </c>
      <c r="C13" s="18">
        <v>7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632</v>
      </c>
      <c r="C14" s="18">
        <v>1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18">
        <v>6</v>
      </c>
      <c r="B15" s="19" t="s">
        <v>633</v>
      </c>
      <c r="C15" s="18">
        <v>5</v>
      </c>
      <c r="D15" s="20" t="s">
        <v>11</v>
      </c>
      <c r="E15" s="21">
        <v>0</v>
      </c>
      <c r="F15" s="22"/>
      <c r="G15" s="23"/>
      <c r="H15" s="24"/>
    </row>
    <row r="16" spans="1:8" ht="24" customHeight="1" x14ac:dyDescent="0.3">
      <c r="A16" s="18">
        <v>7</v>
      </c>
      <c r="B16" s="19" t="s">
        <v>634</v>
      </c>
      <c r="C16" s="18">
        <v>1</v>
      </c>
      <c r="D16" s="20" t="s">
        <v>11</v>
      </c>
      <c r="E16" s="21">
        <v>0</v>
      </c>
      <c r="F16" s="22"/>
      <c r="G16" s="23"/>
      <c r="H16" s="24"/>
    </row>
    <row r="17" spans="1:8" ht="24" customHeight="1" x14ac:dyDescent="0.3">
      <c r="A17" s="25">
        <v>8</v>
      </c>
      <c r="B17" s="26" t="s">
        <v>635</v>
      </c>
      <c r="C17" s="25">
        <v>1</v>
      </c>
      <c r="D17" s="27" t="s">
        <v>11</v>
      </c>
      <c r="E17" s="28">
        <v>0</v>
      </c>
      <c r="F17" s="29"/>
      <c r="G17" s="30"/>
      <c r="H17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17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17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17" xr:uid="{51C4D258-2F02-4A95-A2A2-62375CC84A8A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17" xr:uid="{7E7F50DC-FE18-4EED-A240-BC72799E42B4}">
      <formula1>0</formula1>
      <formula2>1</formula2>
    </dataValidation>
    <dataValidation type="decimal" allowBlank="1" showInputMessage="1" showErrorMessage="1" errorTitle="Giá trị không hợp lệ" error="Nhập điểm từ 0 đến 10." sqref="F10:F17" xr:uid="{81498CC2-5D2A-42A6-B740-6E3C252A3B5F}">
      <formula1>0</formula1>
      <formula2>10</formula2>
    </dataValidation>
  </dataValidations>
  <hyperlinks>
    <hyperlink ref="B3" r:id="rId1" display="05 - Phát triển game/03 - Game Design/indie-game-design-build-your-games-core-system" xr:uid="{0B06169A-F70E-416B-88B4-082BF6B89221}"/>
  </hyperlinks>
  <pageMargins left="0.7" right="0.7" top="0.75" bottom="0.75" header="0.3" footer="0.3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089AA-447D-4157-8604-E2B5DBA88C69}">
  <sheetPr>
    <tabColor rgb="FF0D9488"/>
  </sheetPr>
  <dimension ref="A1:H13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619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620</v>
      </c>
      <c r="C2" s="16" t="s">
        <v>25</v>
      </c>
      <c r="D2" s="15" t="s">
        <v>587</v>
      </c>
      <c r="E2" s="16" t="s">
        <v>26</v>
      </c>
      <c r="F2" s="15" t="s">
        <v>607</v>
      </c>
      <c r="G2" s="15"/>
      <c r="H2" s="15"/>
    </row>
    <row r="3" spans="1:8" ht="30" customHeight="1" x14ac:dyDescent="0.3">
      <c r="A3" s="16" t="s">
        <v>27</v>
      </c>
      <c r="B3" s="56" t="s">
        <v>621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COUNTA(B10:B13)</f>
        <v>4</v>
      </c>
      <c r="B6" s="59"/>
      <c r="C6" s="60">
        <f t="shared" ref="C6" si="1">COUNTIF(D10:D13,"Đã hoàn thành")</f>
        <v>0</v>
      </c>
      <c r="D6" s="60"/>
      <c r="E6" s="61">
        <f t="shared" ref="E6" si="2">IFERROR(AVERAGE(E10:E13),0)</f>
        <v>0</v>
      </c>
      <c r="F6" s="61"/>
      <c r="G6" s="62" t="str">
        <f t="shared" ref="G6" si="3">IFERROR(AVERAGE(F10:F13),"")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62</v>
      </c>
      <c r="C10" s="18">
        <v>3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622</v>
      </c>
      <c r="C11" s="18">
        <v>6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623</v>
      </c>
      <c r="C12" s="18">
        <v>3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25">
        <v>4</v>
      </c>
      <c r="B13" s="26" t="s">
        <v>624</v>
      </c>
      <c r="C13" s="25">
        <v>3</v>
      </c>
      <c r="D13" s="27" t="s">
        <v>11</v>
      </c>
      <c r="E13" s="28">
        <v>0</v>
      </c>
      <c r="F13" s="29"/>
      <c r="G13" s="30"/>
      <c r="H13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13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13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13" xr:uid="{E7BB47F9-5593-4D86-AABE-52E6B3F22048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13" xr:uid="{5F0E729E-CC05-4B74-8AE2-EA5E3F07225C}">
      <formula1>0</formula1>
      <formula2>1</formula2>
    </dataValidation>
    <dataValidation type="decimal" allowBlank="1" showInputMessage="1" showErrorMessage="1" errorTitle="Giá trị không hợp lệ" error="Nhập điểm từ 0 đến 10." sqref="F10:F13" xr:uid="{9A2DCEA0-8C72-42EE-80BD-3C82D0CBC023}">
      <formula1>0</formula1>
      <formula2>10</formula2>
    </dataValidation>
  </dataValidations>
  <hyperlinks>
    <hyperlink ref="B3" r:id="rId1" display="05 - Phát triển game/02 - Ren'Py &amp; Visual Novels/renpy-minigames-101" xr:uid="{3301AAB8-AB82-4DE0-8BB0-D5AFD5604F6C}"/>
  </hyperlinks>
  <pageMargins left="0.7" right="0.7" top="0.75" bottom="0.75" header="0.3" footer="0.3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C961C-99FC-4C97-9460-AB65349203EB}">
  <sheetPr>
    <tabColor rgb="FF0D9488"/>
  </sheetPr>
  <dimension ref="A1:H15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611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612</v>
      </c>
      <c r="C2" s="16" t="s">
        <v>25</v>
      </c>
      <c r="D2" s="15" t="s">
        <v>587</v>
      </c>
      <c r="E2" s="16" t="s">
        <v>26</v>
      </c>
      <c r="F2" s="15" t="s">
        <v>607</v>
      </c>
      <c r="G2" s="15"/>
      <c r="H2" s="15"/>
    </row>
    <row r="3" spans="1:8" ht="30" customHeight="1" x14ac:dyDescent="0.3">
      <c r="A3" s="16" t="s">
        <v>27</v>
      </c>
      <c r="B3" s="56" t="s">
        <v>613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COUNTA(B10:B15)</f>
        <v>6</v>
      </c>
      <c r="B6" s="59"/>
      <c r="C6" s="60">
        <f t="shared" ref="C6" si="1">COUNTIF(D10:D15,"Đã hoàn thành")</f>
        <v>0</v>
      </c>
      <c r="D6" s="60"/>
      <c r="E6" s="61">
        <f t="shared" ref="E6" si="2">IFERROR(AVERAGE(E10:E15),0)</f>
        <v>0</v>
      </c>
      <c r="F6" s="61"/>
      <c r="G6" s="62" t="str">
        <f t="shared" ref="G6" si="3">IFERROR(AVERAGE(F10:F15),"")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62</v>
      </c>
      <c r="C10" s="18">
        <v>2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614</v>
      </c>
      <c r="C11" s="18">
        <v>3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615</v>
      </c>
      <c r="C12" s="18">
        <v>3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616</v>
      </c>
      <c r="C13" s="18">
        <v>3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617</v>
      </c>
      <c r="C14" s="18">
        <v>2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25">
        <v>6</v>
      </c>
      <c r="B15" s="26" t="s">
        <v>618</v>
      </c>
      <c r="C15" s="25">
        <v>1</v>
      </c>
      <c r="D15" s="27" t="s">
        <v>11</v>
      </c>
      <c r="E15" s="28">
        <v>0</v>
      </c>
      <c r="F15" s="29"/>
      <c r="G15" s="30"/>
      <c r="H15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15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15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15" xr:uid="{A8919717-1A8F-4992-951B-060093CE80D5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15" xr:uid="{45DFB403-1BB8-41FD-8684-AAEE5CFC7859}">
      <formula1>0</formula1>
      <formula2>1</formula2>
    </dataValidation>
    <dataValidation type="decimal" allowBlank="1" showInputMessage="1" showErrorMessage="1" errorTitle="Giá trị không hợp lệ" error="Nhập điểm từ 0 đến 10." sqref="F10:F15" xr:uid="{2B01FC79-EAAE-43BE-B611-747A81422BD1}">
      <formula1>0</formula1>
      <formula2>10</formula2>
    </dataValidation>
  </dataValidations>
  <hyperlinks>
    <hyperlink ref="B3" r:id="rId1" display="05 - Phát triển game/02 - Ren'Py &amp; Visual Novels/python-basics-for-renpy-developers" xr:uid="{58751866-9A5D-402B-A31C-14CECCD2C2E9}"/>
  </hyperlinks>
  <pageMargins left="0.7" right="0.7" top="0.75" bottom="0.75" header="0.3" footer="0.3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D3776-E322-4EF9-987A-081B893E73E9}">
  <sheetPr>
    <tabColor rgb="FF0D9488"/>
  </sheetPr>
  <dimension ref="A1:H11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605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606</v>
      </c>
      <c r="C2" s="16" t="s">
        <v>25</v>
      </c>
      <c r="D2" s="15" t="s">
        <v>587</v>
      </c>
      <c r="E2" s="16" t="s">
        <v>26</v>
      </c>
      <c r="F2" s="15" t="s">
        <v>607</v>
      </c>
      <c r="G2" s="15"/>
      <c r="H2" s="15"/>
    </row>
    <row r="3" spans="1:8" ht="30" customHeight="1" x14ac:dyDescent="0.3">
      <c r="A3" s="16" t="s">
        <v>27</v>
      </c>
      <c r="B3" s="56" t="s">
        <v>608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COUNTA(B10:B11)</f>
        <v>2</v>
      </c>
      <c r="B6" s="59"/>
      <c r="C6" s="60">
        <f t="shared" ref="C6" si="1">COUNTIF(D10:D11,"Đã hoàn thành")</f>
        <v>0</v>
      </c>
      <c r="D6" s="60"/>
      <c r="E6" s="61">
        <f t="shared" ref="E6" si="2">IFERROR(AVERAGE(E10:E11),0)</f>
        <v>0</v>
      </c>
      <c r="F6" s="61"/>
      <c r="G6" s="62" t="str">
        <f t="shared" ref="G6" si="3">IFERROR(AVERAGE(F10:F11),"")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609</v>
      </c>
      <c r="C10" s="18">
        <v>4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25">
        <v>2</v>
      </c>
      <c r="B11" s="26" t="s">
        <v>610</v>
      </c>
      <c r="C11" s="25">
        <v>11</v>
      </c>
      <c r="D11" s="27" t="s">
        <v>11</v>
      </c>
      <c r="E11" s="28">
        <v>0</v>
      </c>
      <c r="F11" s="29"/>
      <c r="G11" s="30"/>
      <c r="H11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11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11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11" xr:uid="{260CE95E-A53C-4439-8A96-274E5B4EFCD9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11" xr:uid="{E87A8997-DE97-4942-A111-3D277BBEB903}">
      <formula1>0</formula1>
      <formula2>1</formula2>
    </dataValidation>
    <dataValidation type="decimal" allowBlank="1" showInputMessage="1" showErrorMessage="1" errorTitle="Giá trị không hợp lệ" error="Nhập điểm từ 0 đến 10." sqref="F10:F11" xr:uid="{E4C04E95-0A63-4E2F-BDC5-FBF3A5B14BC8}">
      <formula1>0</formula1>
      <formula2>10</formula2>
    </dataValidation>
  </dataValidations>
  <hyperlinks>
    <hyperlink ref="B3" r:id="rId1" display="05 - Phát triển game/02 - Ren'Py &amp; Visual Novels/mastering-renpy-create-visual-novels-like-a-pro" xr:uid="{25DBDF1A-D7EB-4B3F-B4F5-FC9C0F12DF19}"/>
  </hyperlinks>
  <pageMargins left="0.7" right="0.7" top="0.75" bottom="0.75" header="0.3" footer="0.3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BE98-4BAF-422E-97D6-9EA78C103AB5}">
  <sheetPr>
    <tabColor rgb="FF0D9488"/>
  </sheetPr>
  <dimension ref="A1:H16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596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597</v>
      </c>
      <c r="C2" s="16" t="s">
        <v>25</v>
      </c>
      <c r="D2" s="15" t="s">
        <v>587</v>
      </c>
      <c r="E2" s="16" t="s">
        <v>26</v>
      </c>
      <c r="F2" s="15" t="s">
        <v>588</v>
      </c>
      <c r="G2" s="15"/>
      <c r="H2" s="15"/>
    </row>
    <row r="3" spans="1:8" ht="30" customHeight="1" x14ac:dyDescent="0.3">
      <c r="A3" s="16" t="s">
        <v>27</v>
      </c>
      <c r="B3" s="56" t="s">
        <v>598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COUNTA(B10:B16)</f>
        <v>7</v>
      </c>
      <c r="B6" s="59"/>
      <c r="C6" s="60">
        <f t="shared" ref="C6" si="1">COUNTIF(D10:D16,"Đã hoàn thành")</f>
        <v>0</v>
      </c>
      <c r="D6" s="60"/>
      <c r="E6" s="61">
        <f t="shared" ref="E6" si="2">IFERROR(AVERAGE(E10:E16),0)</f>
        <v>0</v>
      </c>
      <c r="F6" s="61"/>
      <c r="G6" s="62" t="str">
        <f t="shared" ref="G6" si="3">IFERROR(AVERAGE(F10:F16),"")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590</v>
      </c>
      <c r="C10" s="18">
        <v>8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599</v>
      </c>
      <c r="C11" s="18">
        <v>27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600</v>
      </c>
      <c r="C12" s="18">
        <v>34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601</v>
      </c>
      <c r="C13" s="18">
        <v>41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602</v>
      </c>
      <c r="C14" s="18">
        <v>38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18">
        <v>6</v>
      </c>
      <c r="B15" s="19" t="s">
        <v>603</v>
      </c>
      <c r="C15" s="18">
        <v>43</v>
      </c>
      <c r="D15" s="20" t="s">
        <v>11</v>
      </c>
      <c r="E15" s="21">
        <v>0</v>
      </c>
      <c r="F15" s="22"/>
      <c r="G15" s="23"/>
      <c r="H15" s="24"/>
    </row>
    <row r="16" spans="1:8" ht="24" customHeight="1" x14ac:dyDescent="0.3">
      <c r="A16" s="25">
        <v>7</v>
      </c>
      <c r="B16" s="26" t="s">
        <v>604</v>
      </c>
      <c r="C16" s="25">
        <v>1</v>
      </c>
      <c r="D16" s="27" t="s">
        <v>11</v>
      </c>
      <c r="E16" s="28">
        <v>0</v>
      </c>
      <c r="F16" s="29"/>
      <c r="G16" s="30"/>
      <c r="H16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16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16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16" xr:uid="{AEB2BA97-D72F-4C6A-834A-060D5DBB8E24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16" xr:uid="{EAEFB055-6EAA-4E98-996F-2230DEA58797}">
      <formula1>0</formula1>
      <formula2>1</formula2>
    </dataValidation>
    <dataValidation type="decimal" allowBlank="1" showInputMessage="1" showErrorMessage="1" errorTitle="Giá trị không hợp lệ" error="Nhập điểm từ 0 đến 10." sqref="F10:F16" xr:uid="{5792AD25-8F53-42EA-8E16-F609E8ACB78A}">
      <formula1>0</formula1>
      <formula2>10</formula2>
    </dataValidation>
  </dataValidations>
  <hyperlinks>
    <hyperlink ref="B3" r:id="rId1" location="\complete-csharp-unity-3d-game-development-unity-6" display="05 - Phát triển game/01 - Unity &amp; C - \complete-csharp-unity-3d-game-development-unity-6" xr:uid="{EA68B28A-870B-489B-8DD0-3328F40ED5A1}"/>
  </hyperlinks>
  <pageMargins left="0.7" right="0.7" top="0.75" bottom="0.75" header="0.3" footer="0.3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1CDCD-A455-4ED6-8500-59132F5D1AF5}">
  <sheetPr>
    <tabColor rgb="FF0D9488"/>
  </sheetPr>
  <dimension ref="A1:H15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585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586</v>
      </c>
      <c r="C2" s="16" t="s">
        <v>25</v>
      </c>
      <c r="D2" s="15" t="s">
        <v>587</v>
      </c>
      <c r="E2" s="16" t="s">
        <v>26</v>
      </c>
      <c r="F2" s="15" t="s">
        <v>588</v>
      </c>
      <c r="G2" s="15"/>
      <c r="H2" s="15"/>
    </row>
    <row r="3" spans="1:8" ht="30" customHeight="1" x14ac:dyDescent="0.3">
      <c r="A3" s="16" t="s">
        <v>27</v>
      </c>
      <c r="B3" s="56" t="s">
        <v>589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COUNTA(B10:B15)</f>
        <v>6</v>
      </c>
      <c r="B6" s="59"/>
      <c r="C6" s="60">
        <f t="shared" ref="C6" si="1">COUNTIF(D10:D15,"Đã hoàn thành")</f>
        <v>0</v>
      </c>
      <c r="D6" s="60"/>
      <c r="E6" s="61">
        <f t="shared" ref="E6" si="2">IFERROR(AVERAGE(E10:E15),0)</f>
        <v>0</v>
      </c>
      <c r="F6" s="61"/>
      <c r="G6" s="62" t="str">
        <f t="shared" ref="G6" si="3">IFERROR(AVERAGE(F10:F15),"")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590</v>
      </c>
      <c r="C10" s="18">
        <v>6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591</v>
      </c>
      <c r="C11" s="18">
        <v>24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592</v>
      </c>
      <c r="C12" s="18">
        <v>29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593</v>
      </c>
      <c r="C13" s="18">
        <v>41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594</v>
      </c>
      <c r="C14" s="18">
        <v>30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25">
        <v>6</v>
      </c>
      <c r="B15" s="26" t="s">
        <v>595</v>
      </c>
      <c r="C15" s="25">
        <v>2</v>
      </c>
      <c r="D15" s="27" t="s">
        <v>11</v>
      </c>
      <c r="E15" s="28">
        <v>0</v>
      </c>
      <c r="F15" s="29"/>
      <c r="G15" s="30"/>
      <c r="H15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15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15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15" xr:uid="{C15FDC87-720C-476C-9634-16077BBA7D29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15" xr:uid="{EBF6DA25-61E3-4F69-84DC-256CC6E13542}">
      <formula1>0</formula1>
      <formula2>1</formula2>
    </dataValidation>
    <dataValidation type="decimal" allowBlank="1" showInputMessage="1" showErrorMessage="1" errorTitle="Giá trị không hợp lệ" error="Nhập điểm từ 0 đến 10." sqref="F10:F15" xr:uid="{3CF1E19E-1EB5-4CC4-ADEB-703687299131}">
      <formula1>0</formula1>
      <formula2>10</formula2>
    </dataValidation>
  </dataValidations>
  <hyperlinks>
    <hyperlink ref="B3" r:id="rId1" location="\complete-csharp-unity-2d-game-development-unity-6" display="05 - Phát triển game/01 - Unity &amp; C - \complete-csharp-unity-2d-game-development-unity-6" xr:uid="{4DD10F03-9D8D-4418-8A56-DB1F63AE2319}"/>
  </hyperlinks>
  <pageMargins left="0.7" right="0.7" top="0.75" bottom="0.75" header="0.3" footer="0.3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318C8-E383-400F-9C5C-3BEC10717435}">
  <sheetPr>
    <tabColor rgb="FF0D9488"/>
  </sheetPr>
  <dimension ref="A1:H28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563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564</v>
      </c>
      <c r="C2" s="16" t="s">
        <v>25</v>
      </c>
      <c r="D2" s="15" t="s">
        <v>409</v>
      </c>
      <c r="E2" s="16" t="s">
        <v>26</v>
      </c>
      <c r="F2" s="15" t="s">
        <v>485</v>
      </c>
      <c r="G2" s="15"/>
      <c r="H2" s="15"/>
    </row>
    <row r="3" spans="1:8" ht="30" customHeight="1" x14ac:dyDescent="0.3">
      <c r="A3" s="16" t="s">
        <v>27</v>
      </c>
      <c r="B3" s="56" t="s">
        <v>565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COUNTA(B10:B28)</f>
        <v>19</v>
      </c>
      <c r="B6" s="59"/>
      <c r="C6" s="60">
        <f t="shared" ref="C6" si="1">COUNTIF(D10:D28,"Đã hoàn thành")</f>
        <v>0</v>
      </c>
      <c r="D6" s="60"/>
      <c r="E6" s="61">
        <f t="shared" ref="E6" si="2">IFERROR(AVERAGE(E10:E28),0)</f>
        <v>0</v>
      </c>
      <c r="F6" s="61"/>
      <c r="G6" s="62" t="str">
        <f t="shared" ref="G6" si="3">IFERROR(AVERAGE(F10:F28),"")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566</v>
      </c>
      <c r="C10" s="18">
        <v>1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567</v>
      </c>
      <c r="C11" s="18">
        <v>2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568</v>
      </c>
      <c r="C12" s="18">
        <v>2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569</v>
      </c>
      <c r="C13" s="18">
        <v>1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570</v>
      </c>
      <c r="C14" s="18">
        <v>2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18">
        <v>6</v>
      </c>
      <c r="B15" s="19" t="s">
        <v>571</v>
      </c>
      <c r="C15" s="18">
        <v>2</v>
      </c>
      <c r="D15" s="20" t="s">
        <v>11</v>
      </c>
      <c r="E15" s="21">
        <v>0</v>
      </c>
      <c r="F15" s="22"/>
      <c r="G15" s="23"/>
      <c r="H15" s="24"/>
    </row>
    <row r="16" spans="1:8" ht="24" customHeight="1" x14ac:dyDescent="0.3">
      <c r="A16" s="18">
        <v>7</v>
      </c>
      <c r="B16" s="19" t="s">
        <v>572</v>
      </c>
      <c r="C16" s="18">
        <v>3</v>
      </c>
      <c r="D16" s="20" t="s">
        <v>11</v>
      </c>
      <c r="E16" s="21">
        <v>0</v>
      </c>
      <c r="F16" s="22"/>
      <c r="G16" s="23"/>
      <c r="H16" s="24"/>
    </row>
    <row r="17" spans="1:8" ht="24" customHeight="1" x14ac:dyDescent="0.3">
      <c r="A17" s="18">
        <v>8</v>
      </c>
      <c r="B17" s="19" t="s">
        <v>573</v>
      </c>
      <c r="C17" s="18">
        <v>4</v>
      </c>
      <c r="D17" s="20" t="s">
        <v>11</v>
      </c>
      <c r="E17" s="21">
        <v>0</v>
      </c>
      <c r="F17" s="22"/>
      <c r="G17" s="23"/>
      <c r="H17" s="24"/>
    </row>
    <row r="18" spans="1:8" ht="24" customHeight="1" x14ac:dyDescent="0.3">
      <c r="A18" s="18">
        <v>9</v>
      </c>
      <c r="B18" s="19" t="s">
        <v>574</v>
      </c>
      <c r="C18" s="18">
        <v>2</v>
      </c>
      <c r="D18" s="20" t="s">
        <v>11</v>
      </c>
      <c r="E18" s="21">
        <v>0</v>
      </c>
      <c r="F18" s="22"/>
      <c r="G18" s="23"/>
      <c r="H18" s="24"/>
    </row>
    <row r="19" spans="1:8" ht="24" customHeight="1" x14ac:dyDescent="0.3">
      <c r="A19" s="18">
        <v>10</v>
      </c>
      <c r="B19" s="19" t="s">
        <v>575</v>
      </c>
      <c r="C19" s="18">
        <v>4</v>
      </c>
      <c r="D19" s="20" t="s">
        <v>11</v>
      </c>
      <c r="E19" s="21">
        <v>0</v>
      </c>
      <c r="F19" s="22"/>
      <c r="G19" s="23"/>
      <c r="H19" s="24"/>
    </row>
    <row r="20" spans="1:8" ht="24" customHeight="1" x14ac:dyDescent="0.3">
      <c r="A20" s="18">
        <v>11</v>
      </c>
      <c r="B20" s="19" t="s">
        <v>576</v>
      </c>
      <c r="C20" s="18">
        <v>3</v>
      </c>
      <c r="D20" s="20" t="s">
        <v>11</v>
      </c>
      <c r="E20" s="21">
        <v>0</v>
      </c>
      <c r="F20" s="22"/>
      <c r="G20" s="23"/>
      <c r="H20" s="24"/>
    </row>
    <row r="21" spans="1:8" ht="24" customHeight="1" x14ac:dyDescent="0.3">
      <c r="A21" s="18">
        <v>12</v>
      </c>
      <c r="B21" s="19" t="s">
        <v>577</v>
      </c>
      <c r="C21" s="18">
        <v>3</v>
      </c>
      <c r="D21" s="20" t="s">
        <v>11</v>
      </c>
      <c r="E21" s="21">
        <v>0</v>
      </c>
      <c r="F21" s="22"/>
      <c r="G21" s="23"/>
      <c r="H21" s="24"/>
    </row>
    <row r="22" spans="1:8" ht="24" customHeight="1" x14ac:dyDescent="0.3">
      <c r="A22" s="18">
        <v>13</v>
      </c>
      <c r="B22" s="19" t="s">
        <v>578</v>
      </c>
      <c r="C22" s="18">
        <v>6</v>
      </c>
      <c r="D22" s="20" t="s">
        <v>11</v>
      </c>
      <c r="E22" s="21">
        <v>0</v>
      </c>
      <c r="F22" s="22"/>
      <c r="G22" s="23"/>
      <c r="H22" s="24"/>
    </row>
    <row r="23" spans="1:8" ht="24" customHeight="1" x14ac:dyDescent="0.3">
      <c r="A23" s="18">
        <v>14</v>
      </c>
      <c r="B23" s="19" t="s">
        <v>579</v>
      </c>
      <c r="C23" s="18">
        <v>5</v>
      </c>
      <c r="D23" s="20" t="s">
        <v>11</v>
      </c>
      <c r="E23" s="21">
        <v>0</v>
      </c>
      <c r="F23" s="22"/>
      <c r="G23" s="23"/>
      <c r="H23" s="24"/>
    </row>
    <row r="24" spans="1:8" ht="24" customHeight="1" x14ac:dyDescent="0.3">
      <c r="A24" s="18">
        <v>15</v>
      </c>
      <c r="B24" s="19" t="s">
        <v>580</v>
      </c>
      <c r="C24" s="18">
        <v>4</v>
      </c>
      <c r="D24" s="20" t="s">
        <v>11</v>
      </c>
      <c r="E24" s="21">
        <v>0</v>
      </c>
      <c r="F24" s="22"/>
      <c r="G24" s="23"/>
      <c r="H24" s="24"/>
    </row>
    <row r="25" spans="1:8" ht="24" customHeight="1" x14ac:dyDescent="0.3">
      <c r="A25" s="18">
        <v>16</v>
      </c>
      <c r="B25" s="19" t="s">
        <v>581</v>
      </c>
      <c r="C25" s="18">
        <v>4</v>
      </c>
      <c r="D25" s="20" t="s">
        <v>11</v>
      </c>
      <c r="E25" s="21">
        <v>0</v>
      </c>
      <c r="F25" s="22"/>
      <c r="G25" s="23"/>
      <c r="H25" s="24"/>
    </row>
    <row r="26" spans="1:8" ht="24" customHeight="1" x14ac:dyDescent="0.3">
      <c r="A26" s="18">
        <v>17</v>
      </c>
      <c r="B26" s="19" t="s">
        <v>582</v>
      </c>
      <c r="C26" s="18">
        <v>3</v>
      </c>
      <c r="D26" s="20" t="s">
        <v>11</v>
      </c>
      <c r="E26" s="21">
        <v>0</v>
      </c>
      <c r="F26" s="22"/>
      <c r="G26" s="23"/>
      <c r="H26" s="24"/>
    </row>
    <row r="27" spans="1:8" ht="24" customHeight="1" x14ac:dyDescent="0.3">
      <c r="A27" s="18">
        <v>18</v>
      </c>
      <c r="B27" s="19" t="s">
        <v>583</v>
      </c>
      <c r="C27" s="18">
        <v>4</v>
      </c>
      <c r="D27" s="20" t="s">
        <v>11</v>
      </c>
      <c r="E27" s="21">
        <v>0</v>
      </c>
      <c r="F27" s="22"/>
      <c r="G27" s="23"/>
      <c r="H27" s="24"/>
    </row>
    <row r="28" spans="1:8" ht="24" customHeight="1" x14ac:dyDescent="0.3">
      <c r="A28" s="25">
        <v>19</v>
      </c>
      <c r="B28" s="26" t="s">
        <v>584</v>
      </c>
      <c r="C28" s="25">
        <v>4</v>
      </c>
      <c r="D28" s="27" t="s">
        <v>11</v>
      </c>
      <c r="E28" s="28">
        <v>0</v>
      </c>
      <c r="F28" s="29"/>
      <c r="G28" s="30"/>
      <c r="H28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28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28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28" xr:uid="{0FEEA517-58FE-448E-91CF-B6CAF1872D9B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28" xr:uid="{A4F0E05F-C1E4-4B9D-8E37-7E3EDB9B30E9}">
      <formula1>0</formula1>
      <formula2>1</formula2>
    </dataValidation>
    <dataValidation type="decimal" allowBlank="1" showInputMessage="1" showErrorMessage="1" errorTitle="Giá trị không hợp lệ" error="Nhập điểm từ 0 đến 10." sqref="F10:F28" xr:uid="{14EBD018-ACD6-49F7-A10B-721E8C6065E8}">
      <formula1>0</formula1>
      <formula2>10</formula2>
    </dataValidation>
  </dataValidations>
  <hyperlinks>
    <hyperlink ref="B3" r:id="rId1" display="04 - Thiết kế &amp; Sáng tạo số/03 - Blender &amp; 3D/05 - Cơ học &amp; thủy động lực học bơi cá" xr:uid="{03E8D582-5BA1-4B8D-B42D-353C5362BC7B}"/>
  </hyperlinks>
  <pageMargins left="0.7" right="0.7" top="0.75" bottom="0.75" header="0.3" footer="0.3"/>
  <tableParts count="1">
    <tablePart r:id="rId2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C72E6-ED27-4629-9CB0-5D4B6103977E}">
  <sheetPr>
    <tabColor rgb="FF0D9488"/>
  </sheetPr>
  <dimension ref="A1:H21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551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552</v>
      </c>
      <c r="C2" s="16" t="s">
        <v>25</v>
      </c>
      <c r="D2" s="15" t="s">
        <v>409</v>
      </c>
      <c r="E2" s="16" t="s">
        <v>26</v>
      </c>
      <c r="F2" s="15" t="s">
        <v>485</v>
      </c>
      <c r="G2" s="15"/>
      <c r="H2" s="15"/>
    </row>
    <row r="3" spans="1:8" ht="30" customHeight="1" x14ac:dyDescent="0.3">
      <c r="A3" s="16" t="s">
        <v>27</v>
      </c>
      <c r="B3" s="56" t="s">
        <v>553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COUNTA(B10:B21)</f>
        <v>12</v>
      </c>
      <c r="B6" s="59"/>
      <c r="C6" s="60">
        <f t="shared" ref="C6" si="1">COUNTIF(D10:D21,"Đã hoàn thành")</f>
        <v>0</v>
      </c>
      <c r="D6" s="60"/>
      <c r="E6" s="61">
        <f t="shared" ref="E6" si="2">IFERROR(AVERAGE(E10:E21),0)</f>
        <v>0</v>
      </c>
      <c r="F6" s="61"/>
      <c r="G6" s="62" t="str">
        <f t="shared" ref="G6" si="3">IFERROR(AVERAGE(F10:F21),"")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554</v>
      </c>
      <c r="C10" s="18">
        <v>3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555</v>
      </c>
      <c r="C11" s="18">
        <v>2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556</v>
      </c>
      <c r="C12" s="18">
        <v>3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557</v>
      </c>
      <c r="C13" s="18">
        <v>3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558</v>
      </c>
      <c r="C14" s="18">
        <v>3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18">
        <v>6</v>
      </c>
      <c r="B15" s="19" t="s">
        <v>559</v>
      </c>
      <c r="C15" s="18">
        <v>4</v>
      </c>
      <c r="D15" s="20" t="s">
        <v>11</v>
      </c>
      <c r="E15" s="21">
        <v>0</v>
      </c>
      <c r="F15" s="22"/>
      <c r="G15" s="23"/>
      <c r="H15" s="24"/>
    </row>
    <row r="16" spans="1:8" ht="24" customHeight="1" x14ac:dyDescent="0.3">
      <c r="A16" s="18">
        <v>7</v>
      </c>
      <c r="B16" s="19" t="s">
        <v>560</v>
      </c>
      <c r="C16" s="18">
        <v>4</v>
      </c>
      <c r="D16" s="20" t="s">
        <v>11</v>
      </c>
      <c r="E16" s="21">
        <v>0</v>
      </c>
      <c r="F16" s="22"/>
      <c r="G16" s="23"/>
      <c r="H16" s="24"/>
    </row>
    <row r="17" spans="1:8" ht="24" customHeight="1" x14ac:dyDescent="0.3">
      <c r="A17" s="18">
        <v>8</v>
      </c>
      <c r="B17" s="19" t="s">
        <v>556</v>
      </c>
      <c r="C17" s="18">
        <v>0</v>
      </c>
      <c r="D17" s="20" t="s">
        <v>11</v>
      </c>
      <c r="E17" s="21">
        <v>0</v>
      </c>
      <c r="F17" s="22"/>
      <c r="G17" s="23"/>
      <c r="H17" s="24"/>
    </row>
    <row r="18" spans="1:8" ht="24" customHeight="1" x14ac:dyDescent="0.3">
      <c r="A18" s="18">
        <v>9</v>
      </c>
      <c r="B18" s="19" t="s">
        <v>559</v>
      </c>
      <c r="C18" s="18">
        <v>0</v>
      </c>
      <c r="D18" s="20" t="s">
        <v>11</v>
      </c>
      <c r="E18" s="21">
        <v>0</v>
      </c>
      <c r="F18" s="22"/>
      <c r="G18" s="23"/>
      <c r="H18" s="24"/>
    </row>
    <row r="19" spans="1:8" ht="24" customHeight="1" x14ac:dyDescent="0.3">
      <c r="A19" s="18">
        <v>10</v>
      </c>
      <c r="B19" s="19" t="s">
        <v>560</v>
      </c>
      <c r="C19" s="18">
        <v>0</v>
      </c>
      <c r="D19" s="20" t="s">
        <v>11</v>
      </c>
      <c r="E19" s="21">
        <v>0</v>
      </c>
      <c r="F19" s="22"/>
      <c r="G19" s="23"/>
      <c r="H19" s="24"/>
    </row>
    <row r="20" spans="1:8" ht="24" customHeight="1" x14ac:dyDescent="0.3">
      <c r="A20" s="18">
        <v>11</v>
      </c>
      <c r="B20" s="19" t="s">
        <v>561</v>
      </c>
      <c r="C20" s="18">
        <v>0</v>
      </c>
      <c r="D20" s="20" t="s">
        <v>11</v>
      </c>
      <c r="E20" s="21">
        <v>0</v>
      </c>
      <c r="F20" s="22"/>
      <c r="G20" s="23"/>
      <c r="H20" s="24"/>
    </row>
    <row r="21" spans="1:8" ht="24" customHeight="1" x14ac:dyDescent="0.3">
      <c r="A21" s="25">
        <v>12</v>
      </c>
      <c r="B21" s="26" t="s">
        <v>562</v>
      </c>
      <c r="C21" s="25">
        <v>0</v>
      </c>
      <c r="D21" s="27" t="s">
        <v>11</v>
      </c>
      <c r="E21" s="28">
        <v>0</v>
      </c>
      <c r="F21" s="29"/>
      <c r="G21" s="30"/>
      <c r="H21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21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21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21" xr:uid="{B2D8B2C1-BAF2-4FC7-A2EC-26EDEBBC0F7C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21" xr:uid="{623A74D9-E68B-44A6-AF2E-052D50771910}">
      <formula1>0</formula1>
      <formula2>1</formula2>
    </dataValidation>
    <dataValidation type="decimal" allowBlank="1" showInputMessage="1" showErrorMessage="1" errorTitle="Giá trị không hợp lệ" error="Nhập điểm từ 0 đến 10." sqref="F10:F21" xr:uid="{B0C71A74-1D23-461A-9B1B-50E657AC74C6}">
      <formula1>0</formula1>
      <formula2>10</formula2>
    </dataValidation>
  </dataValidations>
  <hyperlinks>
    <hyperlink ref="B3" r:id="rId1" display="04 - Thiết kế &amp; Sáng tạo số/03 - Blender &amp; 3D/04 - Giải phẫu &amp; phát triển bộ xương cá" xr:uid="{FDAE3F2E-667C-4096-BD8A-8C2F300E5D8A}"/>
  </hyperlinks>
  <pageMargins left="0.7" right="0.7" top="0.75" bottom="0.75" header="0.3" footer="0.3"/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F5D92-EACF-49C1-9AA4-2213236DB601}">
  <sheetPr>
    <tabColor rgb="FF0D9488"/>
  </sheetPr>
  <dimension ref="A1:H13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544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545</v>
      </c>
      <c r="C2" s="16" t="s">
        <v>25</v>
      </c>
      <c r="D2" s="15" t="s">
        <v>409</v>
      </c>
      <c r="E2" s="16" t="s">
        <v>26</v>
      </c>
      <c r="F2" s="15" t="s">
        <v>485</v>
      </c>
      <c r="G2" s="15"/>
      <c r="H2" s="15"/>
    </row>
    <row r="3" spans="1:8" ht="30" customHeight="1" x14ac:dyDescent="0.3">
      <c r="A3" s="16" t="s">
        <v>27</v>
      </c>
      <c r="B3" s="56" t="s">
        <v>546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COUNTA(B10:B13)</f>
        <v>4</v>
      </c>
      <c r="B6" s="59"/>
      <c r="C6" s="60">
        <f t="shared" ref="C6" si="1">COUNTIF(D10:D13,"Đã hoàn thành")</f>
        <v>0</v>
      </c>
      <c r="D6" s="60"/>
      <c r="E6" s="61">
        <f t="shared" ref="E6" si="2">IFERROR(AVERAGE(E10:E13),0)</f>
        <v>0</v>
      </c>
      <c r="F6" s="61"/>
      <c r="G6" s="62" t="str">
        <f t="shared" ref="G6" si="3">IFERROR(AVERAGE(F10:F13),"")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547</v>
      </c>
      <c r="C10" s="18">
        <v>1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548</v>
      </c>
      <c r="C11" s="18">
        <v>1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549</v>
      </c>
      <c r="C12" s="18">
        <v>1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25">
        <v>4</v>
      </c>
      <c r="B13" s="26" t="s">
        <v>550</v>
      </c>
      <c r="C13" s="25">
        <v>1</v>
      </c>
      <c r="D13" s="27" t="s">
        <v>11</v>
      </c>
      <c r="E13" s="28">
        <v>0</v>
      </c>
      <c r="F13" s="29"/>
      <c r="G13" s="30"/>
      <c r="H13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13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13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13" xr:uid="{B229283E-5B1A-4E05-A950-FE5ADEAAC3F8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13" xr:uid="{11DC12BA-3A40-4894-A464-645EE42A0422}">
      <formula1>0</formula1>
      <formula2>1</formula2>
    </dataValidation>
    <dataValidation type="decimal" allowBlank="1" showInputMessage="1" showErrorMessage="1" errorTitle="Giá trị không hợp lệ" error="Nhập điểm từ 0 đến 10." sqref="F10:F13" xr:uid="{49803482-7CEC-46AA-9D85-69622FAAEC72}">
      <formula1>0</formula1>
      <formula2>10</formula2>
    </dataValidation>
  </dataValidations>
  <hyperlinks>
    <hyperlink ref="B3" r:id="rId1" display="04 - Thiết kế &amp; Sáng tạo số/03 - Blender &amp; 3D/03 - VFX &amp; mô phỏng Blender" xr:uid="{FE82229E-DDDF-4B6F-8DC6-1CD31382776E}"/>
  </hyperlinks>
  <pageMargins left="0.7" right="0.7" top="0.75" bottom="0.75" header="0.3" footer="0.3"/>
  <tableParts count="1">
    <tablePart r:id="rId2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2852D-A259-4769-AAAD-C6DDA3597190}">
  <sheetPr>
    <tabColor rgb="FF0D9488"/>
  </sheetPr>
  <dimension ref="A1:H13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537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538</v>
      </c>
      <c r="C2" s="16" t="s">
        <v>25</v>
      </c>
      <c r="D2" s="15" t="s">
        <v>409</v>
      </c>
      <c r="E2" s="16" t="s">
        <v>26</v>
      </c>
      <c r="F2" s="15" t="s">
        <v>485</v>
      </c>
      <c r="G2" s="15"/>
      <c r="H2" s="15"/>
    </row>
    <row r="3" spans="1:8" ht="30" customHeight="1" x14ac:dyDescent="0.3">
      <c r="A3" s="16" t="s">
        <v>27</v>
      </c>
      <c r="B3" s="56" t="s">
        <v>539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COUNTA(B10:B13)</f>
        <v>4</v>
      </c>
      <c r="B6" s="59"/>
      <c r="C6" s="60">
        <f t="shared" ref="C6" si="1">COUNTIF(D10:D13,"Đã hoàn thành")</f>
        <v>0</v>
      </c>
      <c r="D6" s="60"/>
      <c r="E6" s="61">
        <f t="shared" ref="E6" si="2">IFERROR(AVERAGE(E10:E13),0)</f>
        <v>0</v>
      </c>
      <c r="F6" s="61"/>
      <c r="G6" s="62" t="str">
        <f t="shared" ref="G6" si="3">IFERROR(AVERAGE(F10:F13),"")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540</v>
      </c>
      <c r="C10" s="18">
        <v>11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541</v>
      </c>
      <c r="C11" s="18">
        <v>8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542</v>
      </c>
      <c r="C12" s="18">
        <v>12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25">
        <v>4</v>
      </c>
      <c r="B13" s="26" t="s">
        <v>543</v>
      </c>
      <c r="C13" s="25">
        <v>9</v>
      </c>
      <c r="D13" s="27" t="s">
        <v>11</v>
      </c>
      <c r="E13" s="28">
        <v>0</v>
      </c>
      <c r="F13" s="29"/>
      <c r="G13" s="30"/>
      <c r="H13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13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13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13" xr:uid="{8F91E2D4-7719-4E3C-B303-55E40860F3E3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13" xr:uid="{8A0A4992-17B6-4974-B342-6E6346474840}">
      <formula1>0</formula1>
      <formula2>1</formula2>
    </dataValidation>
    <dataValidation type="decimal" allowBlank="1" showInputMessage="1" showErrorMessage="1" errorTitle="Giá trị không hợp lệ" error="Nhập điểm từ 0 đến 10." sqref="F10:F13" xr:uid="{ADD23D6A-ABBF-4D68-A574-BFC4C9842FF6}">
      <formula1>0</formula1>
      <formula2>10</formula2>
    </dataValidation>
  </dataValidations>
  <hyperlinks>
    <hyperlink ref="B3" r:id="rId1" display="04 - Thiết kế &amp; Sáng tạo số/03 - Blender &amp; 3D/02 - Animation cá trong Blender" xr:uid="{13F9EC7B-6235-4776-A017-99E844D34D59}"/>
  </hyperlinks>
  <pageMargins left="0.7" right="0.7" top="0.75" bottom="0.75" header="0.3" footer="0.3"/>
  <tableParts count="1">
    <tablePart r:id="rId2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13263-249C-4FD1-8645-6ED94745E76E}">
  <sheetPr>
    <tabColor rgb="FF0D9488"/>
  </sheetPr>
  <dimension ref="A1:H59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483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484</v>
      </c>
      <c r="C2" s="16" t="s">
        <v>25</v>
      </c>
      <c r="D2" s="15" t="s">
        <v>409</v>
      </c>
      <c r="E2" s="16" t="s">
        <v>26</v>
      </c>
      <c r="F2" s="15" t="s">
        <v>485</v>
      </c>
      <c r="G2" s="15"/>
      <c r="H2" s="15"/>
    </row>
    <row r="3" spans="1:8" ht="30" customHeight="1" x14ac:dyDescent="0.3">
      <c r="A3" s="16" t="s">
        <v>27</v>
      </c>
      <c r="B3" s="56" t="s">
        <v>486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COUNTA(B10:B59)</f>
        <v>50</v>
      </c>
      <c r="B6" s="59"/>
      <c r="C6" s="60">
        <f t="shared" ref="C6" si="1">COUNTIF(D10:D59,"Đã hoàn thành")</f>
        <v>0</v>
      </c>
      <c r="D6" s="60"/>
      <c r="E6" s="61">
        <f t="shared" ref="E6" si="2">IFERROR(AVERAGE(E10:E59),0)</f>
        <v>0</v>
      </c>
      <c r="F6" s="61"/>
      <c r="G6" s="62" t="str">
        <f t="shared" ref="G6" si="3">IFERROR(AVERAGE(F10:F59),"")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487</v>
      </c>
      <c r="C10" s="18">
        <v>9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488</v>
      </c>
      <c r="C11" s="18">
        <v>10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489</v>
      </c>
      <c r="C12" s="18">
        <v>13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490</v>
      </c>
      <c r="C13" s="18">
        <v>9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491</v>
      </c>
      <c r="C14" s="18">
        <v>4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18">
        <v>6</v>
      </c>
      <c r="B15" s="19" t="s">
        <v>492</v>
      </c>
      <c r="C15" s="18">
        <v>3</v>
      </c>
      <c r="D15" s="20" t="s">
        <v>11</v>
      </c>
      <c r="E15" s="21">
        <v>0</v>
      </c>
      <c r="F15" s="22"/>
      <c r="G15" s="23"/>
      <c r="H15" s="24"/>
    </row>
    <row r="16" spans="1:8" ht="24" customHeight="1" x14ac:dyDescent="0.3">
      <c r="A16" s="18">
        <v>7</v>
      </c>
      <c r="B16" s="19" t="s">
        <v>493</v>
      </c>
      <c r="C16" s="18">
        <v>5</v>
      </c>
      <c r="D16" s="20" t="s">
        <v>11</v>
      </c>
      <c r="E16" s="21">
        <v>0</v>
      </c>
      <c r="F16" s="22"/>
      <c r="G16" s="23"/>
      <c r="H16" s="24"/>
    </row>
    <row r="17" spans="1:8" ht="24" customHeight="1" x14ac:dyDescent="0.3">
      <c r="A17" s="18">
        <v>8</v>
      </c>
      <c r="B17" s="19" t="s">
        <v>494</v>
      </c>
      <c r="C17" s="18">
        <v>9</v>
      </c>
      <c r="D17" s="20" t="s">
        <v>11</v>
      </c>
      <c r="E17" s="21">
        <v>0</v>
      </c>
      <c r="F17" s="22"/>
      <c r="G17" s="23"/>
      <c r="H17" s="24"/>
    </row>
    <row r="18" spans="1:8" ht="24" customHeight="1" x14ac:dyDescent="0.3">
      <c r="A18" s="18">
        <v>9</v>
      </c>
      <c r="B18" s="19" t="s">
        <v>495</v>
      </c>
      <c r="C18" s="18">
        <v>22</v>
      </c>
      <c r="D18" s="20" t="s">
        <v>11</v>
      </c>
      <c r="E18" s="21">
        <v>0</v>
      </c>
      <c r="F18" s="22"/>
      <c r="G18" s="23"/>
      <c r="H18" s="24"/>
    </row>
    <row r="19" spans="1:8" ht="24" customHeight="1" x14ac:dyDescent="0.3">
      <c r="A19" s="18">
        <v>10</v>
      </c>
      <c r="B19" s="19" t="s">
        <v>496</v>
      </c>
      <c r="C19" s="18">
        <v>18</v>
      </c>
      <c r="D19" s="20" t="s">
        <v>11</v>
      </c>
      <c r="E19" s="21">
        <v>0</v>
      </c>
      <c r="F19" s="22"/>
      <c r="G19" s="23"/>
      <c r="H19" s="24"/>
    </row>
    <row r="20" spans="1:8" ht="24" customHeight="1" x14ac:dyDescent="0.3">
      <c r="A20" s="18">
        <v>11</v>
      </c>
      <c r="B20" s="19" t="s">
        <v>497</v>
      </c>
      <c r="C20" s="18">
        <v>13</v>
      </c>
      <c r="D20" s="20" t="s">
        <v>11</v>
      </c>
      <c r="E20" s="21">
        <v>0</v>
      </c>
      <c r="F20" s="22"/>
      <c r="G20" s="23"/>
      <c r="H20" s="24"/>
    </row>
    <row r="21" spans="1:8" ht="24" customHeight="1" x14ac:dyDescent="0.3">
      <c r="A21" s="18">
        <v>12</v>
      </c>
      <c r="B21" s="19" t="s">
        <v>498</v>
      </c>
      <c r="C21" s="18">
        <v>18</v>
      </c>
      <c r="D21" s="20" t="s">
        <v>11</v>
      </c>
      <c r="E21" s="21">
        <v>0</v>
      </c>
      <c r="F21" s="22"/>
      <c r="G21" s="23"/>
      <c r="H21" s="24"/>
    </row>
    <row r="22" spans="1:8" ht="24" customHeight="1" x14ac:dyDescent="0.3">
      <c r="A22" s="18">
        <v>13</v>
      </c>
      <c r="B22" s="19" t="s">
        <v>499</v>
      </c>
      <c r="C22" s="18">
        <v>16</v>
      </c>
      <c r="D22" s="20" t="s">
        <v>11</v>
      </c>
      <c r="E22" s="21">
        <v>0</v>
      </c>
      <c r="F22" s="22"/>
      <c r="G22" s="23"/>
      <c r="H22" s="24"/>
    </row>
    <row r="23" spans="1:8" ht="24" customHeight="1" x14ac:dyDescent="0.3">
      <c r="A23" s="18">
        <v>14</v>
      </c>
      <c r="B23" s="19" t="s">
        <v>500</v>
      </c>
      <c r="C23" s="18">
        <v>14</v>
      </c>
      <c r="D23" s="20" t="s">
        <v>11</v>
      </c>
      <c r="E23" s="21">
        <v>0</v>
      </c>
      <c r="F23" s="22"/>
      <c r="G23" s="23"/>
      <c r="H23" s="24"/>
    </row>
    <row r="24" spans="1:8" ht="24" customHeight="1" x14ac:dyDescent="0.3">
      <c r="A24" s="18">
        <v>15</v>
      </c>
      <c r="B24" s="19" t="s">
        <v>501</v>
      </c>
      <c r="C24" s="18">
        <v>4</v>
      </c>
      <c r="D24" s="20" t="s">
        <v>11</v>
      </c>
      <c r="E24" s="21">
        <v>0</v>
      </c>
      <c r="F24" s="22"/>
      <c r="G24" s="23"/>
      <c r="H24" s="24"/>
    </row>
    <row r="25" spans="1:8" ht="24" customHeight="1" x14ac:dyDescent="0.3">
      <c r="A25" s="18">
        <v>16</v>
      </c>
      <c r="B25" s="19" t="s">
        <v>502</v>
      </c>
      <c r="C25" s="18">
        <v>5</v>
      </c>
      <c r="D25" s="20" t="s">
        <v>11</v>
      </c>
      <c r="E25" s="21">
        <v>0</v>
      </c>
      <c r="F25" s="22"/>
      <c r="G25" s="23"/>
      <c r="H25" s="24"/>
    </row>
    <row r="26" spans="1:8" ht="24" customHeight="1" x14ac:dyDescent="0.3">
      <c r="A26" s="18">
        <v>17</v>
      </c>
      <c r="B26" s="19" t="s">
        <v>503</v>
      </c>
      <c r="C26" s="18">
        <v>3</v>
      </c>
      <c r="D26" s="20" t="s">
        <v>11</v>
      </c>
      <c r="E26" s="21">
        <v>0</v>
      </c>
      <c r="F26" s="22"/>
      <c r="G26" s="23"/>
      <c r="H26" s="24"/>
    </row>
    <row r="27" spans="1:8" ht="24" customHeight="1" x14ac:dyDescent="0.3">
      <c r="A27" s="18">
        <v>18</v>
      </c>
      <c r="B27" s="19" t="s">
        <v>504</v>
      </c>
      <c r="C27" s="18">
        <v>5</v>
      </c>
      <c r="D27" s="20" t="s">
        <v>11</v>
      </c>
      <c r="E27" s="21">
        <v>0</v>
      </c>
      <c r="F27" s="22"/>
      <c r="G27" s="23"/>
      <c r="H27" s="24"/>
    </row>
    <row r="28" spans="1:8" ht="24" customHeight="1" x14ac:dyDescent="0.3">
      <c r="A28" s="18">
        <v>19</v>
      </c>
      <c r="B28" s="19" t="s">
        <v>505</v>
      </c>
      <c r="C28" s="18">
        <v>2</v>
      </c>
      <c r="D28" s="20" t="s">
        <v>11</v>
      </c>
      <c r="E28" s="21">
        <v>0</v>
      </c>
      <c r="F28" s="22"/>
      <c r="G28" s="23"/>
      <c r="H28" s="24"/>
    </row>
    <row r="29" spans="1:8" ht="24" customHeight="1" x14ac:dyDescent="0.3">
      <c r="A29" s="18">
        <v>20</v>
      </c>
      <c r="B29" s="19" t="s">
        <v>506</v>
      </c>
      <c r="C29" s="18">
        <v>5</v>
      </c>
      <c r="D29" s="20" t="s">
        <v>11</v>
      </c>
      <c r="E29" s="21">
        <v>0</v>
      </c>
      <c r="F29" s="22"/>
      <c r="G29" s="23"/>
      <c r="H29" s="24"/>
    </row>
    <row r="30" spans="1:8" ht="24" customHeight="1" x14ac:dyDescent="0.3">
      <c r="A30" s="18">
        <v>21</v>
      </c>
      <c r="B30" s="19" t="s">
        <v>507</v>
      </c>
      <c r="C30" s="18">
        <v>9</v>
      </c>
      <c r="D30" s="20" t="s">
        <v>11</v>
      </c>
      <c r="E30" s="21">
        <v>0</v>
      </c>
      <c r="F30" s="22"/>
      <c r="G30" s="23"/>
      <c r="H30" s="24"/>
    </row>
    <row r="31" spans="1:8" ht="24" customHeight="1" x14ac:dyDescent="0.3">
      <c r="A31" s="18">
        <v>22</v>
      </c>
      <c r="B31" s="19" t="s">
        <v>508</v>
      </c>
      <c r="C31" s="18">
        <v>6</v>
      </c>
      <c r="D31" s="20" t="s">
        <v>11</v>
      </c>
      <c r="E31" s="21">
        <v>0</v>
      </c>
      <c r="F31" s="22"/>
      <c r="G31" s="23"/>
      <c r="H31" s="24"/>
    </row>
    <row r="32" spans="1:8" ht="24" customHeight="1" x14ac:dyDescent="0.3">
      <c r="A32" s="18">
        <v>23</v>
      </c>
      <c r="B32" s="19" t="s">
        <v>509</v>
      </c>
      <c r="C32" s="18">
        <v>3</v>
      </c>
      <c r="D32" s="20" t="s">
        <v>11</v>
      </c>
      <c r="E32" s="21">
        <v>0</v>
      </c>
      <c r="F32" s="22"/>
      <c r="G32" s="23"/>
      <c r="H32" s="24"/>
    </row>
    <row r="33" spans="1:8" ht="24" customHeight="1" x14ac:dyDescent="0.3">
      <c r="A33" s="18">
        <v>24</v>
      </c>
      <c r="B33" s="19" t="s">
        <v>510</v>
      </c>
      <c r="C33" s="18">
        <v>5</v>
      </c>
      <c r="D33" s="20" t="s">
        <v>11</v>
      </c>
      <c r="E33" s="21">
        <v>0</v>
      </c>
      <c r="F33" s="22"/>
      <c r="G33" s="23"/>
      <c r="H33" s="24"/>
    </row>
    <row r="34" spans="1:8" ht="24" customHeight="1" x14ac:dyDescent="0.3">
      <c r="A34" s="18">
        <v>25</v>
      </c>
      <c r="B34" s="19" t="s">
        <v>511</v>
      </c>
      <c r="C34" s="18">
        <v>4</v>
      </c>
      <c r="D34" s="20" t="s">
        <v>11</v>
      </c>
      <c r="E34" s="21">
        <v>0</v>
      </c>
      <c r="F34" s="22"/>
      <c r="G34" s="23"/>
      <c r="H34" s="24"/>
    </row>
    <row r="35" spans="1:8" ht="24" customHeight="1" x14ac:dyDescent="0.3">
      <c r="A35" s="18">
        <v>26</v>
      </c>
      <c r="B35" s="19" t="s">
        <v>512</v>
      </c>
      <c r="C35" s="18">
        <v>4</v>
      </c>
      <c r="D35" s="20" t="s">
        <v>11</v>
      </c>
      <c r="E35" s="21">
        <v>0</v>
      </c>
      <c r="F35" s="22"/>
      <c r="G35" s="23"/>
      <c r="H35" s="24"/>
    </row>
    <row r="36" spans="1:8" ht="24" customHeight="1" x14ac:dyDescent="0.3">
      <c r="A36" s="18">
        <v>27</v>
      </c>
      <c r="B36" s="19" t="s">
        <v>513</v>
      </c>
      <c r="C36" s="18">
        <v>3</v>
      </c>
      <c r="D36" s="20" t="s">
        <v>11</v>
      </c>
      <c r="E36" s="21">
        <v>0</v>
      </c>
      <c r="F36" s="22"/>
      <c r="G36" s="23"/>
      <c r="H36" s="24"/>
    </row>
    <row r="37" spans="1:8" ht="24" customHeight="1" x14ac:dyDescent="0.3">
      <c r="A37" s="18">
        <v>28</v>
      </c>
      <c r="B37" s="19" t="s">
        <v>514</v>
      </c>
      <c r="C37" s="18">
        <v>4</v>
      </c>
      <c r="D37" s="20" t="s">
        <v>11</v>
      </c>
      <c r="E37" s="21">
        <v>0</v>
      </c>
      <c r="F37" s="22"/>
      <c r="G37" s="23"/>
      <c r="H37" s="24"/>
    </row>
    <row r="38" spans="1:8" ht="24" customHeight="1" x14ac:dyDescent="0.3">
      <c r="A38" s="18">
        <v>29</v>
      </c>
      <c r="B38" s="19" t="s">
        <v>515</v>
      </c>
      <c r="C38" s="18">
        <v>2</v>
      </c>
      <c r="D38" s="20" t="s">
        <v>11</v>
      </c>
      <c r="E38" s="21">
        <v>0</v>
      </c>
      <c r="F38" s="22"/>
      <c r="G38" s="23"/>
      <c r="H38" s="24"/>
    </row>
    <row r="39" spans="1:8" ht="24" customHeight="1" x14ac:dyDescent="0.3">
      <c r="A39" s="18">
        <v>30</v>
      </c>
      <c r="B39" s="19" t="s">
        <v>516</v>
      </c>
      <c r="C39" s="18">
        <v>5</v>
      </c>
      <c r="D39" s="20" t="s">
        <v>11</v>
      </c>
      <c r="E39" s="21">
        <v>0</v>
      </c>
      <c r="F39" s="22"/>
      <c r="G39" s="23"/>
      <c r="H39" s="24"/>
    </row>
    <row r="40" spans="1:8" ht="24" customHeight="1" x14ac:dyDescent="0.3">
      <c r="A40" s="18">
        <v>31</v>
      </c>
      <c r="B40" s="19" t="s">
        <v>517</v>
      </c>
      <c r="C40" s="18">
        <v>3</v>
      </c>
      <c r="D40" s="20" t="s">
        <v>11</v>
      </c>
      <c r="E40" s="21">
        <v>0</v>
      </c>
      <c r="F40" s="22"/>
      <c r="G40" s="23"/>
      <c r="H40" s="24"/>
    </row>
    <row r="41" spans="1:8" ht="24" customHeight="1" x14ac:dyDescent="0.3">
      <c r="A41" s="18">
        <v>32</v>
      </c>
      <c r="B41" s="19" t="s">
        <v>518</v>
      </c>
      <c r="C41" s="18">
        <v>5</v>
      </c>
      <c r="D41" s="20" t="s">
        <v>11</v>
      </c>
      <c r="E41" s="21">
        <v>0</v>
      </c>
      <c r="F41" s="22"/>
      <c r="G41" s="23"/>
      <c r="H41" s="24"/>
    </row>
    <row r="42" spans="1:8" ht="24" customHeight="1" x14ac:dyDescent="0.3">
      <c r="A42" s="18">
        <v>33</v>
      </c>
      <c r="B42" s="19" t="s">
        <v>519</v>
      </c>
      <c r="C42" s="18">
        <v>1</v>
      </c>
      <c r="D42" s="20" t="s">
        <v>11</v>
      </c>
      <c r="E42" s="21">
        <v>0</v>
      </c>
      <c r="F42" s="22"/>
      <c r="G42" s="23"/>
      <c r="H42" s="24"/>
    </row>
    <row r="43" spans="1:8" ht="24" customHeight="1" x14ac:dyDescent="0.3">
      <c r="A43" s="18">
        <v>34</v>
      </c>
      <c r="B43" s="19" t="s">
        <v>520</v>
      </c>
      <c r="C43" s="18">
        <v>3</v>
      </c>
      <c r="D43" s="20" t="s">
        <v>11</v>
      </c>
      <c r="E43" s="21">
        <v>0</v>
      </c>
      <c r="F43" s="22"/>
      <c r="G43" s="23"/>
      <c r="H43" s="24"/>
    </row>
    <row r="44" spans="1:8" ht="24" customHeight="1" x14ac:dyDescent="0.3">
      <c r="A44" s="18">
        <v>35</v>
      </c>
      <c r="B44" s="19" t="s">
        <v>521</v>
      </c>
      <c r="C44" s="18">
        <v>1</v>
      </c>
      <c r="D44" s="20" t="s">
        <v>11</v>
      </c>
      <c r="E44" s="21">
        <v>0</v>
      </c>
      <c r="F44" s="22"/>
      <c r="G44" s="23"/>
      <c r="H44" s="24"/>
    </row>
    <row r="45" spans="1:8" ht="24" customHeight="1" x14ac:dyDescent="0.3">
      <c r="A45" s="18">
        <v>36</v>
      </c>
      <c r="B45" s="19" t="s">
        <v>522</v>
      </c>
      <c r="C45" s="18">
        <v>13</v>
      </c>
      <c r="D45" s="20" t="s">
        <v>11</v>
      </c>
      <c r="E45" s="21">
        <v>0</v>
      </c>
      <c r="F45" s="22"/>
      <c r="G45" s="23"/>
      <c r="H45" s="24"/>
    </row>
    <row r="46" spans="1:8" ht="24" customHeight="1" x14ac:dyDescent="0.3">
      <c r="A46" s="18">
        <v>37</v>
      </c>
      <c r="B46" s="19" t="s">
        <v>523</v>
      </c>
      <c r="C46" s="18">
        <v>18</v>
      </c>
      <c r="D46" s="20" t="s">
        <v>11</v>
      </c>
      <c r="E46" s="21">
        <v>0</v>
      </c>
      <c r="F46" s="22"/>
      <c r="G46" s="23"/>
      <c r="H46" s="24"/>
    </row>
    <row r="47" spans="1:8" ht="24" customHeight="1" x14ac:dyDescent="0.3">
      <c r="A47" s="18">
        <v>38</v>
      </c>
      <c r="B47" s="19" t="s">
        <v>524</v>
      </c>
      <c r="C47" s="18">
        <v>19</v>
      </c>
      <c r="D47" s="20" t="s">
        <v>11</v>
      </c>
      <c r="E47" s="21">
        <v>0</v>
      </c>
      <c r="F47" s="22"/>
      <c r="G47" s="23"/>
      <c r="H47" s="24"/>
    </row>
    <row r="48" spans="1:8" ht="24" customHeight="1" x14ac:dyDescent="0.3">
      <c r="A48" s="18">
        <v>39</v>
      </c>
      <c r="B48" s="19" t="s">
        <v>525</v>
      </c>
      <c r="C48" s="18">
        <v>28</v>
      </c>
      <c r="D48" s="20" t="s">
        <v>11</v>
      </c>
      <c r="E48" s="21">
        <v>0</v>
      </c>
      <c r="F48" s="22"/>
      <c r="G48" s="23"/>
      <c r="H48" s="24"/>
    </row>
    <row r="49" spans="1:8" ht="24" customHeight="1" x14ac:dyDescent="0.3">
      <c r="A49" s="18">
        <v>40</v>
      </c>
      <c r="B49" s="19" t="s">
        <v>526</v>
      </c>
      <c r="C49" s="18">
        <v>3</v>
      </c>
      <c r="D49" s="20" t="s">
        <v>11</v>
      </c>
      <c r="E49" s="21">
        <v>0</v>
      </c>
      <c r="F49" s="22"/>
      <c r="G49" s="23"/>
      <c r="H49" s="24"/>
    </row>
    <row r="50" spans="1:8" ht="24" customHeight="1" x14ac:dyDescent="0.3">
      <c r="A50" s="18">
        <v>41</v>
      </c>
      <c r="B50" s="19" t="s">
        <v>527</v>
      </c>
      <c r="C50" s="18">
        <v>1</v>
      </c>
      <c r="D50" s="20" t="s">
        <v>11</v>
      </c>
      <c r="E50" s="21">
        <v>0</v>
      </c>
      <c r="F50" s="22"/>
      <c r="G50" s="23"/>
      <c r="H50" s="24"/>
    </row>
    <row r="51" spans="1:8" ht="24" customHeight="1" x14ac:dyDescent="0.3">
      <c r="A51" s="18">
        <v>42</v>
      </c>
      <c r="B51" s="19" t="s">
        <v>528</v>
      </c>
      <c r="C51" s="18">
        <v>2</v>
      </c>
      <c r="D51" s="20" t="s">
        <v>11</v>
      </c>
      <c r="E51" s="21">
        <v>0</v>
      </c>
      <c r="F51" s="22"/>
      <c r="G51" s="23"/>
      <c r="H51" s="24"/>
    </row>
    <row r="52" spans="1:8" ht="24" customHeight="1" x14ac:dyDescent="0.3">
      <c r="A52" s="18">
        <v>43</v>
      </c>
      <c r="B52" s="19" t="s">
        <v>529</v>
      </c>
      <c r="C52" s="18">
        <v>5</v>
      </c>
      <c r="D52" s="20" t="s">
        <v>11</v>
      </c>
      <c r="E52" s="21">
        <v>0</v>
      </c>
      <c r="F52" s="22"/>
      <c r="G52" s="23"/>
      <c r="H52" s="24"/>
    </row>
    <row r="53" spans="1:8" ht="24" customHeight="1" x14ac:dyDescent="0.3">
      <c r="A53" s="18">
        <v>44</v>
      </c>
      <c r="B53" s="19" t="s">
        <v>530</v>
      </c>
      <c r="C53" s="18">
        <v>10</v>
      </c>
      <c r="D53" s="20" t="s">
        <v>11</v>
      </c>
      <c r="E53" s="21">
        <v>0</v>
      </c>
      <c r="F53" s="22"/>
      <c r="G53" s="23"/>
      <c r="H53" s="24"/>
    </row>
    <row r="54" spans="1:8" ht="24" customHeight="1" x14ac:dyDescent="0.3">
      <c r="A54" s="18">
        <v>45</v>
      </c>
      <c r="B54" s="19" t="s">
        <v>531</v>
      </c>
      <c r="C54" s="18">
        <v>31</v>
      </c>
      <c r="D54" s="20" t="s">
        <v>11</v>
      </c>
      <c r="E54" s="21">
        <v>0</v>
      </c>
      <c r="F54" s="22"/>
      <c r="G54" s="23"/>
      <c r="H54" s="24"/>
    </row>
    <row r="55" spans="1:8" ht="24" customHeight="1" x14ac:dyDescent="0.3">
      <c r="A55" s="18">
        <v>46</v>
      </c>
      <c r="B55" s="19" t="s">
        <v>532</v>
      </c>
      <c r="C55" s="18">
        <v>6</v>
      </c>
      <c r="D55" s="20" t="s">
        <v>11</v>
      </c>
      <c r="E55" s="21">
        <v>0</v>
      </c>
      <c r="F55" s="22"/>
      <c r="G55" s="23"/>
      <c r="H55" s="24"/>
    </row>
    <row r="56" spans="1:8" ht="24" customHeight="1" x14ac:dyDescent="0.3">
      <c r="A56" s="18">
        <v>47</v>
      </c>
      <c r="B56" s="19" t="s">
        <v>533</v>
      </c>
      <c r="C56" s="18">
        <v>6</v>
      </c>
      <c r="D56" s="20" t="s">
        <v>11</v>
      </c>
      <c r="E56" s="21">
        <v>0</v>
      </c>
      <c r="F56" s="22"/>
      <c r="G56" s="23"/>
      <c r="H56" s="24"/>
    </row>
    <row r="57" spans="1:8" ht="24" customHeight="1" x14ac:dyDescent="0.3">
      <c r="A57" s="18">
        <v>48</v>
      </c>
      <c r="B57" s="19" t="s">
        <v>534</v>
      </c>
      <c r="C57" s="18">
        <v>5</v>
      </c>
      <c r="D57" s="20" t="s">
        <v>11</v>
      </c>
      <c r="E57" s="21">
        <v>0</v>
      </c>
      <c r="F57" s="22"/>
      <c r="G57" s="23"/>
      <c r="H57" s="24"/>
    </row>
    <row r="58" spans="1:8" ht="24" customHeight="1" x14ac:dyDescent="0.3">
      <c r="A58" s="18">
        <v>49</v>
      </c>
      <c r="B58" s="19" t="s">
        <v>535</v>
      </c>
      <c r="C58" s="18">
        <v>2</v>
      </c>
      <c r="D58" s="20" t="s">
        <v>11</v>
      </c>
      <c r="E58" s="21">
        <v>0</v>
      </c>
      <c r="F58" s="22"/>
      <c r="G58" s="23"/>
      <c r="H58" s="24"/>
    </row>
    <row r="59" spans="1:8" ht="24" customHeight="1" x14ac:dyDescent="0.3">
      <c r="A59" s="25">
        <v>50</v>
      </c>
      <c r="B59" s="26" t="s">
        <v>536</v>
      </c>
      <c r="C59" s="25">
        <v>16</v>
      </c>
      <c r="D59" s="27" t="s">
        <v>11</v>
      </c>
      <c r="E59" s="28">
        <v>0</v>
      </c>
      <c r="F59" s="29"/>
      <c r="G59" s="30"/>
      <c r="H59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59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59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59" xr:uid="{875CBFD1-022D-43A0-B35F-E31C96C3EE9D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59" xr:uid="{41961102-E07F-4462-82A3-FC2381F9F898}">
      <formula1>0</formula1>
      <formula2>1</formula2>
    </dataValidation>
    <dataValidation type="decimal" allowBlank="1" showInputMessage="1" showErrorMessage="1" errorTitle="Giá trị không hợp lệ" error="Nhập điểm từ 0 đến 10." sqref="F10:F59" xr:uid="{E25153CB-0163-4182-BF1A-3C90444ACC4D}">
      <formula1>0</formula1>
      <formula2>10</formula2>
    </dataValidation>
  </dataValidations>
  <hyperlinks>
    <hyperlink ref="B3" r:id="rId1" display="04 - Thiết kế &amp; Sáng tạo số/03 - Blender &amp; 3D/01 - Blender tổng quát" xr:uid="{BF50A2C5-258A-4A82-B960-895A8F88B113}"/>
  </hyperlinks>
  <pageMargins left="0.7" right="0.7" top="0.75" bottom="0.75" header="0.3" footer="0.3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7F298-E2D5-4C2A-8DD5-FB65C8710F60}">
  <sheetPr>
    <tabColor rgb="FF0D9488"/>
  </sheetPr>
  <dimension ref="A1:H10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480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481</v>
      </c>
      <c r="C2" s="16" t="s">
        <v>25</v>
      </c>
      <c r="D2" s="15" t="s">
        <v>409</v>
      </c>
      <c r="E2" s="16" t="s">
        <v>26</v>
      </c>
      <c r="F2" s="15" t="s">
        <v>456</v>
      </c>
      <c r="G2" s="15"/>
      <c r="H2" s="15"/>
    </row>
    <row r="3" spans="1:8" ht="30" customHeight="1" x14ac:dyDescent="0.3">
      <c r="A3" s="16" t="s">
        <v>27</v>
      </c>
      <c r="B3" s="56" t="s">
        <v>482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COUNTA(B10:B10)</f>
        <v>1</v>
      </c>
      <c r="B6" s="59"/>
      <c r="C6" s="60">
        <f t="shared" ref="C6" si="1">COUNTIF(D10:D10,"Đã hoàn thành")</f>
        <v>0</v>
      </c>
      <c r="D6" s="60"/>
      <c r="E6" s="61">
        <f t="shared" ref="E6" si="2">IFERROR(AVERAGE(E10:E10),0)</f>
        <v>0</v>
      </c>
      <c r="F6" s="61"/>
      <c r="G6" s="62" t="str">
        <f t="shared" ref="G6" si="3">IFERROR(AVERAGE(F10:F10),"")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25">
        <v>1</v>
      </c>
      <c r="B10" s="26" t="s">
        <v>458</v>
      </c>
      <c r="C10" s="25">
        <v>15</v>
      </c>
      <c r="D10" s="27" t="s">
        <v>11</v>
      </c>
      <c r="E10" s="28">
        <v>0</v>
      </c>
      <c r="F10" s="29"/>
      <c r="G10" s="30"/>
      <c r="H10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" xr:uid="{57CD81D1-0975-4B4A-83E0-128182A1ABDD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" xr:uid="{96FD57C5-D736-4E05-9167-0BB16A946EAB}">
      <formula1>0</formula1>
      <formula2>1</formula2>
    </dataValidation>
    <dataValidation type="decimal" allowBlank="1" showInputMessage="1" showErrorMessage="1" errorTitle="Giá trị không hợp lệ" error="Nhập điểm từ 0 đến 10." sqref="F10" xr:uid="{BD411C66-3C37-4D5A-BE8A-921A5D91FCDD}">
      <formula1>0</formula1>
      <formula2>10</formula2>
    </dataValidation>
  </dataValidations>
  <hyperlinks>
    <hyperlink ref="B3" r:id="rId1" display="04 - Thiết kế &amp; Sáng tạo số/02 - Figma &amp; Design-to-Code/figma-to-cursor-claude-code-mcp" xr:uid="{EEED00BE-EB1F-4530-9487-51AAD2FFD8F2}"/>
  </hyperlinks>
  <pageMargins left="0.7" right="0.7" top="0.75" bottom="0.75" header="0.3" footer="0.3"/>
  <tableParts count="1">
    <tablePart r:id="rId2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54D80-66F0-4932-B12A-25D0C588F505}">
  <sheetPr>
    <tabColor rgb="FF0D9488"/>
  </sheetPr>
  <dimension ref="A1:H10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477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478</v>
      </c>
      <c r="C2" s="16" t="s">
        <v>25</v>
      </c>
      <c r="D2" s="15" t="s">
        <v>409</v>
      </c>
      <c r="E2" s="16" t="s">
        <v>26</v>
      </c>
      <c r="F2" s="15" t="s">
        <v>456</v>
      </c>
      <c r="G2" s="15"/>
      <c r="H2" s="15"/>
    </row>
    <row r="3" spans="1:8" ht="30" customHeight="1" x14ac:dyDescent="0.3">
      <c r="A3" s="16" t="s">
        <v>27</v>
      </c>
      <c r="B3" s="56" t="s">
        <v>479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COUNTA(B10:B10)</f>
        <v>1</v>
      </c>
      <c r="B6" s="59"/>
      <c r="C6" s="60">
        <f t="shared" ref="C6" si="1">COUNTIF(D10:D10,"Đã hoàn thành")</f>
        <v>0</v>
      </c>
      <c r="D6" s="60"/>
      <c r="E6" s="61">
        <f t="shared" ref="E6" si="2">IFERROR(AVERAGE(E10:E10),0)</f>
        <v>0</v>
      </c>
      <c r="F6" s="61"/>
      <c r="G6" s="62" t="str">
        <f t="shared" ref="G6" si="3">IFERROR(AVERAGE(F10:F10),"")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25">
        <v>1</v>
      </c>
      <c r="B10" s="26" t="s">
        <v>458</v>
      </c>
      <c r="C10" s="25">
        <v>9</v>
      </c>
      <c r="D10" s="27" t="s">
        <v>11</v>
      </c>
      <c r="E10" s="28">
        <v>0</v>
      </c>
      <c r="F10" s="29"/>
      <c r="G10" s="30"/>
      <c r="H10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" xr:uid="{A28E60A4-8016-4EB3-BB48-63140680E057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" xr:uid="{699B6106-1DBF-4713-8E80-AAEB54A38DFB}">
      <formula1>0</formula1>
      <formula2>1</formula2>
    </dataValidation>
    <dataValidation type="decimal" allowBlank="1" showInputMessage="1" showErrorMessage="1" errorTitle="Giá trị không hợp lệ" error="Nhập điểm từ 0 đến 10." sqref="F10" xr:uid="{A0E50AAE-2323-403C-A904-5390706B090A}">
      <formula1>0</formula1>
      <formula2>10</formula2>
    </dataValidation>
  </dataValidations>
  <hyperlinks>
    <hyperlink ref="B3" r:id="rId1" display="04 - Thiết kế &amp; Sáng tạo số/02 - Figma &amp; Design-to-Code/figma-to-code-cursor-mcp" xr:uid="{6C5B8233-C0C4-44A5-8E06-B287D90C3ECD}"/>
  </hyperlinks>
  <pageMargins left="0.7" right="0.7" top="0.75" bottom="0.75" header="0.3" footer="0.3"/>
  <tableParts count="1">
    <tablePart r:id="rId2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03680-4B83-47FA-84EF-A3FF3C13646B}">
  <sheetPr>
    <tabColor rgb="FF0D9488"/>
  </sheetPr>
  <dimension ref="A1:H18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465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466</v>
      </c>
      <c r="C2" s="16" t="s">
        <v>25</v>
      </c>
      <c r="D2" s="15" t="s">
        <v>409</v>
      </c>
      <c r="E2" s="16" t="s">
        <v>26</v>
      </c>
      <c r="F2" s="15" t="s">
        <v>456</v>
      </c>
      <c r="G2" s="15"/>
      <c r="H2" s="15"/>
    </row>
    <row r="3" spans="1:8" ht="30" customHeight="1" x14ac:dyDescent="0.3">
      <c r="A3" s="16" t="s">
        <v>27</v>
      </c>
      <c r="B3" s="56" t="s">
        <v>467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COUNTA(B10:B18)</f>
        <v>9</v>
      </c>
      <c r="B6" s="59"/>
      <c r="C6" s="60">
        <f t="shared" ref="C6" si="1">COUNTIF(D10:D18,"Đã hoàn thành")</f>
        <v>0</v>
      </c>
      <c r="D6" s="60"/>
      <c r="E6" s="61">
        <f t="shared" ref="E6" si="2">IFERROR(AVERAGE(E10:E18),0)</f>
        <v>0</v>
      </c>
      <c r="F6" s="61"/>
      <c r="G6" s="62" t="str">
        <f t="shared" ref="G6" si="3">IFERROR(AVERAGE(F10:F18),"")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468</v>
      </c>
      <c r="C10" s="18">
        <v>5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469</v>
      </c>
      <c r="C11" s="18">
        <v>7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470</v>
      </c>
      <c r="C12" s="18">
        <v>6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471</v>
      </c>
      <c r="C13" s="18">
        <v>3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472</v>
      </c>
      <c r="C14" s="18">
        <v>1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18">
        <v>6</v>
      </c>
      <c r="B15" s="19" t="s">
        <v>473</v>
      </c>
      <c r="C15" s="18">
        <v>1</v>
      </c>
      <c r="D15" s="20" t="s">
        <v>11</v>
      </c>
      <c r="E15" s="21">
        <v>0</v>
      </c>
      <c r="F15" s="22"/>
      <c r="G15" s="23"/>
      <c r="H15" s="24"/>
    </row>
    <row r="16" spans="1:8" ht="24" customHeight="1" x14ac:dyDescent="0.3">
      <c r="A16" s="18">
        <v>7</v>
      </c>
      <c r="B16" s="19" t="s">
        <v>474</v>
      </c>
      <c r="C16" s="18">
        <v>1</v>
      </c>
      <c r="D16" s="20" t="s">
        <v>11</v>
      </c>
      <c r="E16" s="21">
        <v>0</v>
      </c>
      <c r="F16" s="22"/>
      <c r="G16" s="23"/>
      <c r="H16" s="24"/>
    </row>
    <row r="17" spans="1:8" ht="24" customHeight="1" x14ac:dyDescent="0.3">
      <c r="A17" s="18">
        <v>8</v>
      </c>
      <c r="B17" s="19" t="s">
        <v>475</v>
      </c>
      <c r="C17" s="18">
        <v>2</v>
      </c>
      <c r="D17" s="20" t="s">
        <v>11</v>
      </c>
      <c r="E17" s="21">
        <v>0</v>
      </c>
      <c r="F17" s="22"/>
      <c r="G17" s="23"/>
      <c r="H17" s="24"/>
    </row>
    <row r="18" spans="1:8" ht="24" customHeight="1" x14ac:dyDescent="0.3">
      <c r="A18" s="25">
        <v>9</v>
      </c>
      <c r="B18" s="26" t="s">
        <v>476</v>
      </c>
      <c r="C18" s="25">
        <v>1</v>
      </c>
      <c r="D18" s="27" t="s">
        <v>11</v>
      </c>
      <c r="E18" s="28">
        <v>0</v>
      </c>
      <c r="F18" s="29"/>
      <c r="G18" s="30"/>
      <c r="H18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18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18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18" xr:uid="{8DCD6447-F951-4C3D-A931-487194A47A28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18" xr:uid="{CE2D3AB6-E221-4F0E-AE41-B0CF3C4A5E85}">
      <formula1>0</formula1>
      <formula2>1</formula2>
    </dataValidation>
    <dataValidation type="decimal" allowBlank="1" showInputMessage="1" showErrorMessage="1" errorTitle="Giá trị không hợp lệ" error="Nhập điểm từ 0 đến 10." sqref="F10:F18" xr:uid="{AE5803C5-FEB1-49C6-83DD-A1F14A38E3A6}">
      <formula1>0</formula1>
      <formula2>10</formula2>
    </dataValidation>
  </dataValidations>
  <hyperlinks>
    <hyperlink ref="B3" r:id="rId1" display="04 - Thiết kế &amp; Sáng tạo số/02 - Figma &amp; Design-to-Code/figma-to-angular-mastery" xr:uid="{196A3B52-8B71-4D76-8DE4-F3692601D7EF}"/>
  </hyperlinks>
  <pageMargins left="0.7" right="0.7" top="0.75" bottom="0.75" header="0.3" footer="0.3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D1F4E-4EC4-4BE5-84B6-76EA516A0AF3}">
  <sheetPr>
    <tabColor rgb="FF0D9488"/>
  </sheetPr>
  <dimension ref="A1:H10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462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463</v>
      </c>
      <c r="C2" s="16" t="s">
        <v>25</v>
      </c>
      <c r="D2" s="15" t="s">
        <v>409</v>
      </c>
      <c r="E2" s="16" t="s">
        <v>26</v>
      </c>
      <c r="F2" s="15" t="s">
        <v>456</v>
      </c>
      <c r="G2" s="15"/>
      <c r="H2" s="15"/>
    </row>
    <row r="3" spans="1:8" ht="30" customHeight="1" x14ac:dyDescent="0.3">
      <c r="A3" s="16" t="s">
        <v>27</v>
      </c>
      <c r="B3" s="56" t="s">
        <v>464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COUNTA(B10:B10)</f>
        <v>1</v>
      </c>
      <c r="B6" s="59"/>
      <c r="C6" s="60">
        <f t="shared" ref="C6" si="1">COUNTIF(D10:D10,"Đã hoàn thành")</f>
        <v>0</v>
      </c>
      <c r="D6" s="60"/>
      <c r="E6" s="61">
        <f t="shared" ref="E6" si="2">IFERROR(AVERAGE(E10:E10),0)</f>
        <v>0</v>
      </c>
      <c r="F6" s="61"/>
      <c r="G6" s="62" t="str">
        <f t="shared" ref="G6" si="3">IFERROR(AVERAGE(F10:F10),"")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25">
        <v>1</v>
      </c>
      <c r="B10" s="26" t="s">
        <v>458</v>
      </c>
      <c r="C10" s="25">
        <v>8</v>
      </c>
      <c r="D10" s="27" t="s">
        <v>11</v>
      </c>
      <c r="E10" s="28">
        <v>0</v>
      </c>
      <c r="F10" s="29"/>
      <c r="G10" s="30"/>
      <c r="H10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" xr:uid="{711161F6-941E-48A5-A4A3-5571558A6588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" xr:uid="{328372CD-1362-44AE-923D-C74F7E7EE907}">
      <formula1>0</formula1>
      <formula2>1</formula2>
    </dataValidation>
    <dataValidation type="decimal" allowBlank="1" showInputMessage="1" showErrorMessage="1" errorTitle="Giá trị không hợp lệ" error="Nhập điểm từ 0 đến 10." sqref="F10" xr:uid="{AB134CFF-5DEA-4B90-9F20-F0F538BD0FFB}">
      <formula1>0</formula1>
      <formula2>10</formula2>
    </dataValidation>
  </dataValidations>
  <hyperlinks>
    <hyperlink ref="B3" r:id="rId1" display="04 - Thiết kế &amp; Sáng tạo số/02 - Figma &amp; Design-to-Code/figma-mcp-cursor-vibe-coding" xr:uid="{F816A46F-8DAE-4C95-A6F1-22F1DCA1238F}"/>
  </hyperlinks>
  <pageMargins left="0.7" right="0.7" top="0.75" bottom="0.75" header="0.3" footer="0.3"/>
  <tableParts count="1">
    <tablePart r:id="rId2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38956-6815-4248-9614-E97682F54DA7}">
  <sheetPr>
    <tabColor rgb="FF0D9488"/>
  </sheetPr>
  <dimension ref="A1:H10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459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460</v>
      </c>
      <c r="C2" s="16" t="s">
        <v>25</v>
      </c>
      <c r="D2" s="15" t="s">
        <v>409</v>
      </c>
      <c r="E2" s="16" t="s">
        <v>26</v>
      </c>
      <c r="F2" s="15" t="s">
        <v>456</v>
      </c>
      <c r="G2" s="15"/>
      <c r="H2" s="15"/>
    </row>
    <row r="3" spans="1:8" ht="30" customHeight="1" x14ac:dyDescent="0.3">
      <c r="A3" s="16" t="s">
        <v>27</v>
      </c>
      <c r="B3" s="56" t="s">
        <v>461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COUNTA(B10:B10)</f>
        <v>1</v>
      </c>
      <c r="B6" s="59"/>
      <c r="C6" s="60">
        <f t="shared" ref="C6" si="1">COUNTIF(D10:D10,"Đã hoàn thành")</f>
        <v>0</v>
      </c>
      <c r="D6" s="60"/>
      <c r="E6" s="61">
        <f t="shared" ref="E6" si="2">IFERROR(AVERAGE(E10:E10),0)</f>
        <v>0</v>
      </c>
      <c r="F6" s="61"/>
      <c r="G6" s="62" t="str">
        <f t="shared" ref="G6" si="3">IFERROR(AVERAGE(F10:F10),"")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25">
        <v>1</v>
      </c>
      <c r="B10" s="26" t="s">
        <v>458</v>
      </c>
      <c r="C10" s="25">
        <v>13</v>
      </c>
      <c r="D10" s="27" t="s">
        <v>11</v>
      </c>
      <c r="E10" s="28">
        <v>0</v>
      </c>
      <c r="F10" s="29"/>
      <c r="G10" s="30"/>
      <c r="H10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" xr:uid="{A2D3BC17-F845-4716-BA55-62AA78D56E5B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" xr:uid="{6E5AD6CD-7CED-48EB-B168-AB46413DE066}">
      <formula1>0</formula1>
      <formula2>1</formula2>
    </dataValidation>
    <dataValidation type="decimal" allowBlank="1" showInputMessage="1" showErrorMessage="1" errorTitle="Giá trị không hợp lệ" error="Nhập điểm từ 0 đến 10." sqref="F10" xr:uid="{5694A97E-EA60-4365-ADEE-5AD3F2D0911B}">
      <formula1>0</formula1>
      <formula2>10</formula2>
    </dataValidation>
  </dataValidations>
  <hyperlinks>
    <hyperlink ref="B3" r:id="rId1" display="04 - Thiết kế &amp; Sáng tạo số/02 - Figma &amp; Design-to-Code/design-to-code-figma-mcp-cursor" xr:uid="{63450C47-A7CF-44EA-BBB5-B847CB25BF2E}"/>
  </hyperlinks>
  <pageMargins left="0.7" right="0.7" top="0.75" bottom="0.75" header="0.3" footer="0.3"/>
  <tableParts count="1">
    <tablePart r:id="rId2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77D0E-60F6-4681-9B99-949647BB5FD0}">
  <sheetPr>
    <tabColor rgb="FF0D9488"/>
  </sheetPr>
  <dimension ref="A1:H10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454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455</v>
      </c>
      <c r="C2" s="16" t="s">
        <v>25</v>
      </c>
      <c r="D2" s="15" t="s">
        <v>409</v>
      </c>
      <c r="E2" s="16" t="s">
        <v>26</v>
      </c>
      <c r="F2" s="15" t="s">
        <v>456</v>
      </c>
      <c r="G2" s="15"/>
      <c r="H2" s="15"/>
    </row>
    <row r="3" spans="1:8" ht="30" customHeight="1" x14ac:dyDescent="0.3">
      <c r="A3" s="16" t="s">
        <v>27</v>
      </c>
      <c r="B3" s="56" t="s">
        <v>457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COUNTA(B10:B10)</f>
        <v>1</v>
      </c>
      <c r="B6" s="59"/>
      <c r="C6" s="60">
        <f t="shared" ref="C6" si="1">COUNTIF(D10:D10,"Đã hoàn thành")</f>
        <v>0</v>
      </c>
      <c r="D6" s="60"/>
      <c r="E6" s="61">
        <f t="shared" ref="E6" si="2">IFERROR(AVERAGE(E10:E10),0)</f>
        <v>0</v>
      </c>
      <c r="F6" s="61"/>
      <c r="G6" s="62" t="str">
        <f t="shared" ref="G6" si="3">IFERROR(AVERAGE(F10:F10),"")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25">
        <v>1</v>
      </c>
      <c r="B10" s="26" t="s">
        <v>458</v>
      </c>
      <c r="C10" s="25">
        <v>8</v>
      </c>
      <c r="D10" s="27" t="s">
        <v>11</v>
      </c>
      <c r="E10" s="28">
        <v>0</v>
      </c>
      <c r="F10" s="29"/>
      <c r="G10" s="30"/>
      <c r="H10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" xr:uid="{2A7F810B-966E-4DE7-BF22-BBA6FE0168DB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" xr:uid="{0831B9C0-8EFA-4356-9C57-6BCB4EE8B392}">
      <formula1>0</formula1>
      <formula2>1</formula2>
    </dataValidation>
    <dataValidation type="decimal" allowBlank="1" showInputMessage="1" showErrorMessage="1" errorTitle="Giá trị không hợp lệ" error="Nhập điểm từ 0 đến 10." sqref="F10" xr:uid="{8EE5E435-95DA-4E45-8B69-B3069EB04ABD}">
      <formula1>0</formula1>
      <formula2>10</formula2>
    </dataValidation>
  </dataValidations>
  <hyperlinks>
    <hyperlink ref="B3" r:id="rId1" display="04 - Thiết kế &amp; Sáng tạo số/02 - Figma &amp; Design-to-Code/claude-code-figma-mcp-design-to-code" xr:uid="{54FB34B6-29E2-4A0C-B550-7F7DB2E44A8C}"/>
  </hyperlinks>
  <pageMargins left="0.7" right="0.7" top="0.75" bottom="0.75" header="0.3" footer="0.3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952FF-E72B-4BF3-9C52-A4BECEE85767}">
  <sheetPr>
    <tabColor rgb="FF0D9488"/>
  </sheetPr>
  <dimension ref="A1:H23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437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438</v>
      </c>
      <c r="C2" s="16" t="s">
        <v>25</v>
      </c>
      <c r="D2" s="15" t="s">
        <v>409</v>
      </c>
      <c r="E2" s="16" t="s">
        <v>26</v>
      </c>
      <c r="F2" s="15" t="s">
        <v>410</v>
      </c>
      <c r="G2" s="15"/>
      <c r="H2" s="15"/>
    </row>
    <row r="3" spans="1:8" ht="30" customHeight="1" x14ac:dyDescent="0.3">
      <c r="A3" s="16" t="s">
        <v>27</v>
      </c>
      <c r="B3" s="56" t="s">
        <v>439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COUNTA(B10:B23)</f>
        <v>14</v>
      </c>
      <c r="B6" s="59"/>
      <c r="C6" s="60">
        <f t="shared" ref="C6" si="1">COUNTIF(D10:D23,"Đã hoàn thành")</f>
        <v>0</v>
      </c>
      <c r="D6" s="60"/>
      <c r="E6" s="61">
        <f t="shared" ref="E6" si="2">IFERROR(AVERAGE(E10:E23),0)</f>
        <v>0</v>
      </c>
      <c r="F6" s="61"/>
      <c r="G6" s="62" t="str">
        <f t="shared" ref="G6" si="3">IFERROR(AVERAGE(F10:F23),"")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440</v>
      </c>
      <c r="C10" s="18">
        <v>7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441</v>
      </c>
      <c r="C11" s="18">
        <v>8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442</v>
      </c>
      <c r="C12" s="18">
        <v>6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443</v>
      </c>
      <c r="C13" s="18">
        <v>8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444</v>
      </c>
      <c r="C14" s="18">
        <v>8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18">
        <v>6</v>
      </c>
      <c r="B15" s="19" t="s">
        <v>445</v>
      </c>
      <c r="C15" s="18">
        <v>7</v>
      </c>
      <c r="D15" s="20" t="s">
        <v>11</v>
      </c>
      <c r="E15" s="21">
        <v>0</v>
      </c>
      <c r="F15" s="22"/>
      <c r="G15" s="23"/>
      <c r="H15" s="24"/>
    </row>
    <row r="16" spans="1:8" ht="24" customHeight="1" x14ac:dyDescent="0.3">
      <c r="A16" s="18">
        <v>7</v>
      </c>
      <c r="B16" s="19" t="s">
        <v>446</v>
      </c>
      <c r="C16" s="18">
        <v>4</v>
      </c>
      <c r="D16" s="20" t="s">
        <v>11</v>
      </c>
      <c r="E16" s="21">
        <v>0</v>
      </c>
      <c r="F16" s="22"/>
      <c r="G16" s="23"/>
      <c r="H16" s="24"/>
    </row>
    <row r="17" spans="1:8" ht="24" customHeight="1" x14ac:dyDescent="0.3">
      <c r="A17" s="18">
        <v>8</v>
      </c>
      <c r="B17" s="19" t="s">
        <v>447</v>
      </c>
      <c r="C17" s="18">
        <v>4</v>
      </c>
      <c r="D17" s="20" t="s">
        <v>11</v>
      </c>
      <c r="E17" s="21">
        <v>0</v>
      </c>
      <c r="F17" s="22"/>
      <c r="G17" s="23"/>
      <c r="H17" s="24"/>
    </row>
    <row r="18" spans="1:8" ht="24" customHeight="1" x14ac:dyDescent="0.3">
      <c r="A18" s="18">
        <v>9</v>
      </c>
      <c r="B18" s="19" t="s">
        <v>448</v>
      </c>
      <c r="C18" s="18">
        <v>10</v>
      </c>
      <c r="D18" s="20" t="s">
        <v>11</v>
      </c>
      <c r="E18" s="21">
        <v>0</v>
      </c>
      <c r="F18" s="22"/>
      <c r="G18" s="23"/>
      <c r="H18" s="24"/>
    </row>
    <row r="19" spans="1:8" ht="24" customHeight="1" x14ac:dyDescent="0.3">
      <c r="A19" s="18">
        <v>10</v>
      </c>
      <c r="B19" s="19" t="s">
        <v>449</v>
      </c>
      <c r="C19" s="18">
        <v>7</v>
      </c>
      <c r="D19" s="20" t="s">
        <v>11</v>
      </c>
      <c r="E19" s="21">
        <v>0</v>
      </c>
      <c r="F19" s="22"/>
      <c r="G19" s="23"/>
      <c r="H19" s="24"/>
    </row>
    <row r="20" spans="1:8" ht="24" customHeight="1" x14ac:dyDescent="0.3">
      <c r="A20" s="18">
        <v>11</v>
      </c>
      <c r="B20" s="19" t="s">
        <v>450</v>
      </c>
      <c r="C20" s="18">
        <v>1</v>
      </c>
      <c r="D20" s="20" t="s">
        <v>11</v>
      </c>
      <c r="E20" s="21">
        <v>0</v>
      </c>
      <c r="F20" s="22"/>
      <c r="G20" s="23"/>
      <c r="H20" s="24"/>
    </row>
    <row r="21" spans="1:8" ht="24" customHeight="1" x14ac:dyDescent="0.3">
      <c r="A21" s="18">
        <v>12</v>
      </c>
      <c r="B21" s="19" t="s">
        <v>451</v>
      </c>
      <c r="C21" s="18">
        <v>9</v>
      </c>
      <c r="D21" s="20" t="s">
        <v>11</v>
      </c>
      <c r="E21" s="21">
        <v>0</v>
      </c>
      <c r="F21" s="22"/>
      <c r="G21" s="23"/>
      <c r="H21" s="24"/>
    </row>
    <row r="22" spans="1:8" ht="24" customHeight="1" x14ac:dyDescent="0.3">
      <c r="A22" s="18">
        <v>13</v>
      </c>
      <c r="B22" s="19" t="s">
        <v>452</v>
      </c>
      <c r="C22" s="18">
        <v>8</v>
      </c>
      <c r="D22" s="20" t="s">
        <v>11</v>
      </c>
      <c r="E22" s="21">
        <v>0</v>
      </c>
      <c r="F22" s="22"/>
      <c r="G22" s="23"/>
      <c r="H22" s="24"/>
    </row>
    <row r="23" spans="1:8" ht="24" customHeight="1" x14ac:dyDescent="0.3">
      <c r="A23" s="25">
        <v>14</v>
      </c>
      <c r="B23" s="26" t="s">
        <v>453</v>
      </c>
      <c r="C23" s="25">
        <v>7</v>
      </c>
      <c r="D23" s="27" t="s">
        <v>11</v>
      </c>
      <c r="E23" s="28">
        <v>0</v>
      </c>
      <c r="F23" s="29"/>
      <c r="G23" s="30"/>
      <c r="H23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23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23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23" xr:uid="{BB4AC194-D3A2-47A5-ABE2-446FD33FC52C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23" xr:uid="{46987AA0-681F-4E3B-83D5-6D397CA17155}">
      <formula1>0</formula1>
      <formula2>1</formula2>
    </dataValidation>
    <dataValidation type="decimal" allowBlank="1" showInputMessage="1" showErrorMessage="1" errorTitle="Giá trị không hợp lệ" error="Nhập điểm từ 0 đến 10." sqref="F10:F23" xr:uid="{307BC025-8E9A-4422-BED2-B77330329074}">
      <formula1>0</formula1>
      <formula2>10</formula2>
    </dataValidation>
  </dataValidations>
  <hyperlinks>
    <hyperlink ref="B3" r:id="rId1" display="04 - Thiết kế &amp; Sáng tạo số/01 - UX-UI &amp; Design Systems/vibe-coding-for-ux-ui-designers" xr:uid="{115CF329-1B58-4321-99E2-2BE421C9262B}"/>
  </hyperlinks>
  <pageMargins left="0.7" right="0.7" top="0.75" bottom="0.75" header="0.3" footer="0.3"/>
  <tableParts count="1">
    <tablePart r:id="rId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DF775-D258-4CAB-A813-3EC0AC57CD1E}">
  <sheetPr>
    <tabColor rgb="FF0D9488"/>
  </sheetPr>
  <dimension ref="A1:H10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433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434</v>
      </c>
      <c r="C2" s="16" t="s">
        <v>25</v>
      </c>
      <c r="D2" s="15" t="s">
        <v>409</v>
      </c>
      <c r="E2" s="16" t="s">
        <v>26</v>
      </c>
      <c r="F2" s="15" t="s">
        <v>410</v>
      </c>
      <c r="G2" s="15"/>
      <c r="H2" s="15"/>
    </row>
    <row r="3" spans="1:8" ht="30" customHeight="1" x14ac:dyDescent="0.3">
      <c r="A3" s="16" t="s">
        <v>27</v>
      </c>
      <c r="B3" s="56" t="s">
        <v>435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COUNTA(B10:B10)</f>
        <v>1</v>
      </c>
      <c r="B6" s="59"/>
      <c r="C6" s="60">
        <f t="shared" ref="C6" si="1">COUNTIF(D10:D10,"Đã hoàn thành")</f>
        <v>0</v>
      </c>
      <c r="D6" s="60"/>
      <c r="E6" s="61">
        <f t="shared" ref="E6" si="2">IFERROR(AVERAGE(E10:E10),0)</f>
        <v>0</v>
      </c>
      <c r="F6" s="61"/>
      <c r="G6" s="62" t="str">
        <f t="shared" ref="G6" si="3">IFERROR(AVERAGE(F10:F10),"")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25">
        <v>1</v>
      </c>
      <c r="B10" s="26" t="s">
        <v>436</v>
      </c>
      <c r="C10" s="25">
        <v>41</v>
      </c>
      <c r="D10" s="27" t="s">
        <v>11</v>
      </c>
      <c r="E10" s="28">
        <v>0</v>
      </c>
      <c r="F10" s="29"/>
      <c r="G10" s="30"/>
      <c r="H10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" xr:uid="{FC2BE319-3634-4ADA-98EE-468932C1B44F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" xr:uid="{2680AD55-0AC4-4942-B045-CCFC053E42DA}">
      <formula1>0</formula1>
      <formula2>1</formula2>
    </dataValidation>
    <dataValidation type="decimal" allowBlank="1" showInputMessage="1" showErrorMessage="1" errorTitle="Giá trị không hợp lệ" error="Nhập điểm từ 0 đến 10." sqref="F10" xr:uid="{FC851DD8-C964-4745-A0B7-88BA6DD52C45}">
      <formula1>0</formula1>
      <formula2>10</formula2>
    </dataValidation>
  </dataValidations>
  <hyperlinks>
    <hyperlink ref="B3" r:id="rId1" display="04 - Thiết kế &amp; Sáng tạo số/01 - UX-UI &amp; Design Systems/ux-design-roadmap" xr:uid="{484133AA-BCBB-4CF7-8375-FB2CFFB8DA97}"/>
  </hyperlinks>
  <pageMargins left="0.7" right="0.7" top="0.75" bottom="0.75" header="0.3" footer="0.3"/>
  <tableParts count="1">
    <tablePart r:id="rId2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AC0B-6A1A-4733-B59F-E87E281BEE45}">
  <sheetPr>
    <tabColor rgb="FF0D9488"/>
  </sheetPr>
  <dimension ref="A1:H19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420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421</v>
      </c>
      <c r="C2" s="16" t="s">
        <v>25</v>
      </c>
      <c r="D2" s="15" t="s">
        <v>409</v>
      </c>
      <c r="E2" s="16" t="s">
        <v>26</v>
      </c>
      <c r="F2" s="15" t="s">
        <v>410</v>
      </c>
      <c r="G2" s="15"/>
      <c r="H2" s="15"/>
    </row>
    <row r="3" spans="1:8" ht="30" customHeight="1" x14ac:dyDescent="0.3">
      <c r="A3" s="16" t="s">
        <v>27</v>
      </c>
      <c r="B3" s="56" t="s">
        <v>422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COUNTA(B10:B19)</f>
        <v>10</v>
      </c>
      <c r="B6" s="59"/>
      <c r="C6" s="60">
        <f t="shared" ref="C6" si="1">COUNTIF(D10:D19,"Đã hoàn thành")</f>
        <v>0</v>
      </c>
      <c r="D6" s="60"/>
      <c r="E6" s="61">
        <f t="shared" ref="E6" si="2">IFERROR(AVERAGE(E10:E19),0)</f>
        <v>0</v>
      </c>
      <c r="F6" s="61"/>
      <c r="G6" s="62" t="str">
        <f t="shared" ref="G6" si="3">IFERROR(AVERAGE(F10:F19),"")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423</v>
      </c>
      <c r="C10" s="18">
        <v>2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424</v>
      </c>
      <c r="C11" s="18">
        <v>4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425</v>
      </c>
      <c r="C12" s="18">
        <v>2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426</v>
      </c>
      <c r="C13" s="18">
        <v>7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427</v>
      </c>
      <c r="C14" s="18">
        <v>2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18">
        <v>6</v>
      </c>
      <c r="B15" s="19" t="s">
        <v>428</v>
      </c>
      <c r="C15" s="18">
        <v>10</v>
      </c>
      <c r="D15" s="20" t="s">
        <v>11</v>
      </c>
      <c r="E15" s="21">
        <v>0</v>
      </c>
      <c r="F15" s="22"/>
      <c r="G15" s="23"/>
      <c r="H15" s="24"/>
    </row>
    <row r="16" spans="1:8" ht="24" customHeight="1" x14ac:dyDescent="0.3">
      <c r="A16" s="18">
        <v>7</v>
      </c>
      <c r="B16" s="19" t="s">
        <v>429</v>
      </c>
      <c r="C16" s="18">
        <v>1</v>
      </c>
      <c r="D16" s="20" t="s">
        <v>11</v>
      </c>
      <c r="E16" s="21">
        <v>0</v>
      </c>
      <c r="F16" s="22"/>
      <c r="G16" s="23"/>
      <c r="H16" s="24"/>
    </row>
    <row r="17" spans="1:8" ht="24" customHeight="1" x14ac:dyDescent="0.3">
      <c r="A17" s="18">
        <v>8</v>
      </c>
      <c r="B17" s="19" t="s">
        <v>430</v>
      </c>
      <c r="C17" s="18">
        <v>6</v>
      </c>
      <c r="D17" s="20" t="s">
        <v>11</v>
      </c>
      <c r="E17" s="21">
        <v>0</v>
      </c>
      <c r="F17" s="22"/>
      <c r="G17" s="23"/>
      <c r="H17" s="24"/>
    </row>
    <row r="18" spans="1:8" ht="24" customHeight="1" x14ac:dyDescent="0.3">
      <c r="A18" s="18">
        <v>9</v>
      </c>
      <c r="B18" s="19" t="s">
        <v>431</v>
      </c>
      <c r="C18" s="18">
        <v>2</v>
      </c>
      <c r="D18" s="20" t="s">
        <v>11</v>
      </c>
      <c r="E18" s="21">
        <v>0</v>
      </c>
      <c r="F18" s="22"/>
      <c r="G18" s="23"/>
      <c r="H18" s="24"/>
    </row>
    <row r="19" spans="1:8" ht="24" customHeight="1" x14ac:dyDescent="0.3">
      <c r="A19" s="25">
        <v>10</v>
      </c>
      <c r="B19" s="26" t="s">
        <v>432</v>
      </c>
      <c r="C19" s="25">
        <v>1</v>
      </c>
      <c r="D19" s="27" t="s">
        <v>11</v>
      </c>
      <c r="E19" s="28">
        <v>0</v>
      </c>
      <c r="F19" s="29"/>
      <c r="G19" s="30"/>
      <c r="H19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19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19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19" xr:uid="{B35F1B7A-21D9-4E63-B191-3239A255E2A5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19" xr:uid="{1D548643-581F-43C9-8917-BD70F03E55CF}">
      <formula1>0</formula1>
      <formula2>1</formula2>
    </dataValidation>
    <dataValidation type="decimal" allowBlank="1" showInputMessage="1" showErrorMessage="1" errorTitle="Giá trị không hợp lệ" error="Nhập điểm từ 0 đến 10." sqref="F10:F19" xr:uid="{4950EDA9-5598-48B1-83C7-04C2D5E6F157}">
      <formula1>0</formula1>
      <formula2>10</formula2>
    </dataValidation>
  </dataValidations>
  <hyperlinks>
    <hyperlink ref="B3" r:id="rId1" display="04 - Thiết kế &amp; Sáng tạo số/01 - UX-UI &amp; Design Systems/design-system-figma-variable-setup-full-tutorial" xr:uid="{ADB56082-634A-4B89-985B-C210F61FC282}"/>
  </hyperlinks>
  <pageMargins left="0.7" right="0.7" top="0.75" bottom="0.75" header="0.3" footer="0.3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D6FBB-1FFC-4198-ADA9-6CFDC9B85836}">
  <sheetPr>
    <tabColor rgb="FF0D9488"/>
  </sheetPr>
  <dimension ref="A1:H18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407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408</v>
      </c>
      <c r="C2" s="16" t="s">
        <v>25</v>
      </c>
      <c r="D2" s="15" t="s">
        <v>409</v>
      </c>
      <c r="E2" s="16" t="s">
        <v>26</v>
      </c>
      <c r="F2" s="15" t="s">
        <v>410</v>
      </c>
      <c r="G2" s="15"/>
      <c r="H2" s="15"/>
    </row>
    <row r="3" spans="1:8" ht="30" customHeight="1" x14ac:dyDescent="0.3">
      <c r="A3" s="16" t="s">
        <v>27</v>
      </c>
      <c r="B3" s="56" t="s">
        <v>411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COUNTA(B10:B18)</f>
        <v>9</v>
      </c>
      <c r="B6" s="59"/>
      <c r="C6" s="60">
        <f t="shared" ref="C6" si="1">COUNTIF(D10:D18,"Đã hoàn thành")</f>
        <v>0</v>
      </c>
      <c r="D6" s="60"/>
      <c r="E6" s="61">
        <f t="shared" ref="E6" si="2">IFERROR(AVERAGE(E10:E18),0)</f>
        <v>0</v>
      </c>
      <c r="F6" s="61"/>
      <c r="G6" s="62" t="str">
        <f t="shared" ref="G6" si="3">IFERROR(AVERAGE(F10:F18),"")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62</v>
      </c>
      <c r="C10" s="18">
        <v>1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412</v>
      </c>
      <c r="C11" s="18">
        <v>10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413</v>
      </c>
      <c r="C12" s="18">
        <v>8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414</v>
      </c>
      <c r="C13" s="18">
        <v>3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415</v>
      </c>
      <c r="C14" s="18">
        <v>4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18">
        <v>6</v>
      </c>
      <c r="B15" s="19" t="s">
        <v>416</v>
      </c>
      <c r="C15" s="18">
        <v>8</v>
      </c>
      <c r="D15" s="20" t="s">
        <v>11</v>
      </c>
      <c r="E15" s="21">
        <v>0</v>
      </c>
      <c r="F15" s="22"/>
      <c r="G15" s="23"/>
      <c r="H15" s="24"/>
    </row>
    <row r="16" spans="1:8" ht="24" customHeight="1" x14ac:dyDescent="0.3">
      <c r="A16" s="18">
        <v>7</v>
      </c>
      <c r="B16" s="19" t="s">
        <v>417</v>
      </c>
      <c r="C16" s="18">
        <v>5</v>
      </c>
      <c r="D16" s="20" t="s">
        <v>11</v>
      </c>
      <c r="E16" s="21">
        <v>0</v>
      </c>
      <c r="F16" s="22"/>
      <c r="G16" s="23"/>
      <c r="H16" s="24"/>
    </row>
    <row r="17" spans="1:8" ht="24" customHeight="1" x14ac:dyDescent="0.3">
      <c r="A17" s="18">
        <v>8</v>
      </c>
      <c r="B17" s="19" t="s">
        <v>418</v>
      </c>
      <c r="C17" s="18">
        <v>10</v>
      </c>
      <c r="D17" s="20" t="s">
        <v>11</v>
      </c>
      <c r="E17" s="21">
        <v>0</v>
      </c>
      <c r="F17" s="22"/>
      <c r="G17" s="23"/>
      <c r="H17" s="24"/>
    </row>
    <row r="18" spans="1:8" ht="24" customHeight="1" x14ac:dyDescent="0.3">
      <c r="A18" s="25">
        <v>9</v>
      </c>
      <c r="B18" s="26" t="s">
        <v>419</v>
      </c>
      <c r="C18" s="25">
        <v>1</v>
      </c>
      <c r="D18" s="27" t="s">
        <v>11</v>
      </c>
      <c r="E18" s="28">
        <v>0</v>
      </c>
      <c r="F18" s="29"/>
      <c r="G18" s="30"/>
      <c r="H18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18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18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18" xr:uid="{E71E49A4-FADD-4234-90B9-4116281B2D57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18" xr:uid="{1E773BD4-621A-4888-BF81-200601E65A2F}">
      <formula1>0</formula1>
      <formula2>1</formula2>
    </dataValidation>
    <dataValidation type="decimal" allowBlank="1" showInputMessage="1" showErrorMessage="1" errorTitle="Giá trị không hợp lệ" error="Nhập điểm từ 0 đến 10." sqref="F10:F18" xr:uid="{7B118EE8-0444-45D2-B1C5-FD831B15A1AC}">
      <formula1>0</formula1>
      <formula2>10</formula2>
    </dataValidation>
  </dataValidations>
  <hyperlinks>
    <hyperlink ref="B3" r:id="rId1" display="04 - Thiết kế &amp; Sáng tạo số/01 - UX-UI &amp; Design Systems/build-a-design-system-full-course" xr:uid="{8FF5294C-E4F2-4149-8E13-186CBE51E87C}"/>
  </hyperlinks>
  <pageMargins left="0.7" right="0.7" top="0.75" bottom="0.75" header="0.3" footer="0.3"/>
  <tableParts count="1">
    <tablePart r:id="rId2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04261-3303-4F13-89DA-C05BBF81155F}">
  <sheetPr>
    <tabColor rgb="FF0D9488"/>
  </sheetPr>
  <dimension ref="A1:H10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402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403</v>
      </c>
      <c r="C2" s="16" t="s">
        <v>25</v>
      </c>
      <c r="D2" s="15" t="s">
        <v>378</v>
      </c>
      <c r="E2" s="16" t="s">
        <v>26</v>
      </c>
      <c r="F2" s="15" t="s">
        <v>404</v>
      </c>
      <c r="G2" s="15"/>
      <c r="H2" s="15"/>
    </row>
    <row r="3" spans="1:8" ht="30" customHeight="1" x14ac:dyDescent="0.3">
      <c r="A3" s="16" t="s">
        <v>27</v>
      </c>
      <c r="B3" s="56" t="s">
        <v>405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COUNTA(B10:B10)</f>
        <v>1</v>
      </c>
      <c r="B6" s="59"/>
      <c r="C6" s="60">
        <f t="shared" ref="C6" si="1">COUNTIF(D10:D10,"Đã hoàn thành")</f>
        <v>0</v>
      </c>
      <c r="D6" s="60"/>
      <c r="E6" s="61">
        <f t="shared" ref="E6" si="2">IFERROR(AVERAGE(E10:E10),0)</f>
        <v>0</v>
      </c>
      <c r="F6" s="61"/>
      <c r="G6" s="62" t="str">
        <f t="shared" ref="G6" si="3">IFERROR(AVERAGE(F10:F10),"")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25">
        <v>1</v>
      </c>
      <c r="B10" s="26" t="s">
        <v>406</v>
      </c>
      <c r="C10" s="25">
        <v>385</v>
      </c>
      <c r="D10" s="27" t="s">
        <v>11</v>
      </c>
      <c r="E10" s="28">
        <v>0</v>
      </c>
      <c r="F10" s="29"/>
      <c r="G10" s="30"/>
      <c r="H10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" xr:uid="{06D80A33-0BBA-42F4-8211-C55FFCD4194F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" xr:uid="{9CC412AD-3D1F-4F4B-A465-4EFF5907BFD6}">
      <formula1>0</formula1>
      <formula2>1</formula2>
    </dataValidation>
    <dataValidation type="decimal" allowBlank="1" showInputMessage="1" showErrorMessage="1" errorTitle="Giá trị không hợp lệ" error="Nhập điểm từ 0 đến 10." sqref="F10" xr:uid="{712E8B87-B54D-45BE-A187-EF087D81EA77}">
      <formula1>0</formula1>
      <formula2>10</formula2>
    </dataValidation>
  </dataValidations>
  <hyperlinks>
    <hyperlink ref="B3" r:id="rId1" display="03 - Hạ tầng, Mạng &amp; An ninh/03 - Blockchain &amp; Web3/blockchain-roadmap" xr:uid="{87493248-345D-465C-A3FC-8353F380C12C}"/>
  </hyperlinks>
  <pageMargins left="0.7" right="0.7" top="0.75" bottom="0.75" header="0.3" footer="0.3"/>
  <tableParts count="1">
    <tablePart r:id="rId2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1424A-5DF9-473A-8978-FF95CE7BA652}">
  <sheetPr>
    <tabColor rgb="FF0D9488"/>
  </sheetPr>
  <dimension ref="A1:H10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398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399</v>
      </c>
      <c r="C2" s="16" t="s">
        <v>25</v>
      </c>
      <c r="D2" s="15" t="s">
        <v>378</v>
      </c>
      <c r="E2" s="16" t="s">
        <v>26</v>
      </c>
      <c r="F2" s="15" t="s">
        <v>395</v>
      </c>
      <c r="G2" s="15"/>
      <c r="H2" s="15"/>
    </row>
    <row r="3" spans="1:8" ht="30" customHeight="1" x14ac:dyDescent="0.3">
      <c r="A3" s="16" t="s">
        <v>27</v>
      </c>
      <c r="B3" s="56" t="s">
        <v>400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COUNTA(B10:B10)</f>
        <v>1</v>
      </c>
      <c r="B6" s="59"/>
      <c r="C6" s="60">
        <f t="shared" ref="C6" si="1">COUNTIF(D10:D10,"Đã hoàn thành")</f>
        <v>0</v>
      </c>
      <c r="D6" s="60"/>
      <c r="E6" s="61">
        <f t="shared" ref="E6" si="2">IFERROR(AVERAGE(E10:E10),0)</f>
        <v>0</v>
      </c>
      <c r="F6" s="61"/>
      <c r="G6" s="62" t="str">
        <f t="shared" ref="G6" si="3">IFERROR(AVERAGE(F10:F10),"")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25">
        <v>1</v>
      </c>
      <c r="B10" s="26" t="s">
        <v>401</v>
      </c>
      <c r="C10" s="25">
        <v>84</v>
      </c>
      <c r="D10" s="27" t="s">
        <v>11</v>
      </c>
      <c r="E10" s="28">
        <v>0</v>
      </c>
      <c r="F10" s="29"/>
      <c r="G10" s="30"/>
      <c r="H10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" xr:uid="{2B7EC2B1-835C-4A65-B310-3F9CB25D0969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" xr:uid="{E3FBDDB0-2741-45A9-83D0-88086B1ECCE9}">
      <formula1>0</formula1>
      <formula2>1</formula2>
    </dataValidation>
    <dataValidation type="decimal" allowBlank="1" showInputMessage="1" showErrorMessage="1" errorTitle="Giá trị không hợp lệ" error="Nhập điểm từ 0 đến 10." sqref="F10" xr:uid="{29449995-CBA6-4B5F-98B2-62EA34ED939B}">
      <formula1>0</formula1>
      <formula2>10</formula2>
    </dataValidation>
  </dataValidations>
  <hyperlinks>
    <hyperlink ref="B3" r:id="rId1" display="03 - Hạ tầng, Mạng &amp; An ninh/02 - An ninh mạng &amp; DevSecOps/devsecops-roadmap" xr:uid="{A6CCA88F-CE81-4B98-98AD-8CF5D8A31DAB}"/>
  </hyperlinks>
  <pageMargins left="0.7" right="0.7" top="0.75" bottom="0.75" header="0.3" footer="0.3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79B7B-2CF6-4E7D-AAD1-480F87C29D7C}">
  <sheetPr>
    <tabColor rgb="FF0D9488"/>
  </sheetPr>
  <dimension ref="A1:H10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393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394</v>
      </c>
      <c r="C2" s="16" t="s">
        <v>25</v>
      </c>
      <c r="D2" s="15" t="s">
        <v>378</v>
      </c>
      <c r="E2" s="16" t="s">
        <v>26</v>
      </c>
      <c r="F2" s="15" t="s">
        <v>395</v>
      </c>
      <c r="G2" s="15"/>
      <c r="H2" s="15"/>
    </row>
    <row r="3" spans="1:8" ht="30" customHeight="1" x14ac:dyDescent="0.3">
      <c r="A3" s="16" t="s">
        <v>27</v>
      </c>
      <c r="B3" s="56" t="s">
        <v>396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COUNTA(B10:B10)</f>
        <v>1</v>
      </c>
      <c r="B6" s="59"/>
      <c r="C6" s="60">
        <f t="shared" ref="C6" si="1">COUNTIF(D10:D10,"Đã hoàn thành")</f>
        <v>0</v>
      </c>
      <c r="D6" s="60"/>
      <c r="E6" s="61">
        <f t="shared" ref="E6" si="2">IFERROR(AVERAGE(E10:E10),0)</f>
        <v>0</v>
      </c>
      <c r="F6" s="61"/>
      <c r="G6" s="62" t="str">
        <f t="shared" ref="G6" si="3">IFERROR(AVERAGE(F10:F10),"")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25">
        <v>1</v>
      </c>
      <c r="B10" s="26" t="s">
        <v>397</v>
      </c>
      <c r="C10" s="25">
        <v>114</v>
      </c>
      <c r="D10" s="27" t="s">
        <v>11</v>
      </c>
      <c r="E10" s="28">
        <v>0</v>
      </c>
      <c r="F10" s="29"/>
      <c r="G10" s="30"/>
      <c r="H10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" xr:uid="{94876BC8-C0C3-408C-B45B-3BD91F2B1888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" xr:uid="{FB8E8661-B8EE-48F8-B796-70DA760C4AD6}">
      <formula1>0</formula1>
      <formula2>1</formula2>
    </dataValidation>
    <dataValidation type="decimal" allowBlank="1" showInputMessage="1" showErrorMessage="1" errorTitle="Giá trị không hợp lệ" error="Nhập điểm từ 0 đến 10." sqref="F10" xr:uid="{09BBB90F-95F4-42CE-BB5B-B5262F107C24}">
      <formula1>0</formula1>
      <formula2>10</formula2>
    </dataValidation>
  </dataValidations>
  <hyperlinks>
    <hyperlink ref="B3" r:id="rId1" display="03 - Hạ tầng, Mạng &amp; An ninh/02 - An ninh mạng &amp; DevSecOps/cyber-security-roadmap" xr:uid="{7162193E-8CE2-4171-BB13-13CE161D17D8}"/>
  </hyperlinks>
  <pageMargins left="0.7" right="0.7" top="0.75" bottom="0.75" header="0.3" footer="0.3"/>
  <tableParts count="1">
    <tablePart r:id="rId2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2CEBB-9942-4206-AB45-77445FCEF67D}">
  <sheetPr>
    <tabColor rgb="FF0D9488"/>
  </sheetPr>
  <dimension ref="A1:H11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388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389</v>
      </c>
      <c r="C2" s="16" t="s">
        <v>25</v>
      </c>
      <c r="D2" s="15" t="s">
        <v>378</v>
      </c>
      <c r="E2" s="16" t="s">
        <v>26</v>
      </c>
      <c r="F2" s="15" t="s">
        <v>379</v>
      </c>
      <c r="G2" s="15"/>
      <c r="H2" s="15"/>
    </row>
    <row r="3" spans="1:8" ht="30" customHeight="1" x14ac:dyDescent="0.3">
      <c r="A3" s="16" t="s">
        <v>27</v>
      </c>
      <c r="B3" s="56" t="s">
        <v>390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COUNTA(B10:B11)</f>
        <v>2</v>
      </c>
      <c r="B6" s="59"/>
      <c r="C6" s="60">
        <f t="shared" ref="C6" si="1">COUNTIF(D10:D11,"Đã hoàn thành")</f>
        <v>0</v>
      </c>
      <c r="D6" s="60"/>
      <c r="E6" s="61">
        <f t="shared" ref="E6" si="2">IFERROR(AVERAGE(E10:E11),0)</f>
        <v>0</v>
      </c>
      <c r="F6" s="61"/>
      <c r="G6" s="62" t="str">
        <f t="shared" ref="G6" si="3">IFERROR(AVERAGE(F10:F11),"")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391</v>
      </c>
      <c r="C10" s="18">
        <v>40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25">
        <v>2</v>
      </c>
      <c r="B11" s="26" t="s">
        <v>392</v>
      </c>
      <c r="C11" s="25">
        <v>5</v>
      </c>
      <c r="D11" s="27" t="s">
        <v>11</v>
      </c>
      <c r="E11" s="28">
        <v>0</v>
      </c>
      <c r="F11" s="29"/>
      <c r="G11" s="30"/>
      <c r="H11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11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11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11" xr:uid="{2F82E190-2DDA-49CA-8352-5BB8036C4DA6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11" xr:uid="{AC76EB5B-2A5E-4E64-8D7C-A3FDA18F653D}">
      <formula1>0</formula1>
      <formula2>1</formula2>
    </dataValidation>
    <dataValidation type="decimal" allowBlank="1" showInputMessage="1" showErrorMessage="1" errorTitle="Giá trị không hợp lệ" error="Nhập điểm từ 0 đến 10." sqref="F10:F11" xr:uid="{A487A84B-2DCC-4DA2-B05A-345D97272035}">
      <formula1>0</formula1>
      <formula2>10</formula2>
    </dataValidation>
  </dataValidations>
  <hyperlinks>
    <hyperlink ref="B3" r:id="rId1" display="03 - Hạ tầng, Mạng &amp; An ninh/01 - Mạng &amp; Giao tiếp hệ thống/network-engineer-roadmap" xr:uid="{CA21BE3A-A99E-454A-8DAE-04B2B3314F4F}"/>
  </hyperlinks>
  <pageMargins left="0.7" right="0.7" top="0.75" bottom="0.75" header="0.3" footer="0.3"/>
  <tableParts count="1">
    <tablePart r:id="rId2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2FBD1-E43C-47D4-9034-4B9CDFCCC9D2}">
  <sheetPr>
    <tabColor rgb="FF0D9488"/>
  </sheetPr>
  <dimension ref="A1:H17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376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377</v>
      </c>
      <c r="C2" s="16" t="s">
        <v>25</v>
      </c>
      <c r="D2" s="15" t="s">
        <v>378</v>
      </c>
      <c r="E2" s="16" t="s">
        <v>26</v>
      </c>
      <c r="F2" s="15" t="s">
        <v>379</v>
      </c>
      <c r="G2" s="15"/>
      <c r="H2" s="15"/>
    </row>
    <row r="3" spans="1:8" ht="30" customHeight="1" x14ac:dyDescent="0.3">
      <c r="A3" s="16" t="s">
        <v>27</v>
      </c>
      <c r="B3" s="56" t="s">
        <v>380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COUNTA(B10:B17)</f>
        <v>8</v>
      </c>
      <c r="B6" s="59"/>
      <c r="C6" s="60">
        <f t="shared" ref="C6" si="1">COUNTIF(D10:D17,"Đã hoàn thành")</f>
        <v>0</v>
      </c>
      <c r="D6" s="60"/>
      <c r="E6" s="61">
        <f t="shared" ref="E6" si="2">IFERROR(AVERAGE(E10:E17),0)</f>
        <v>0</v>
      </c>
      <c r="F6" s="61"/>
      <c r="G6" s="62" t="str">
        <f t="shared" ref="G6" si="3">IFERROR(AVERAGE(F10:F17),"")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62</v>
      </c>
      <c r="C10" s="18">
        <v>5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381</v>
      </c>
      <c r="C11" s="18">
        <v>11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382</v>
      </c>
      <c r="C12" s="18">
        <v>14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383</v>
      </c>
      <c r="C13" s="18">
        <v>7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384</v>
      </c>
      <c r="C14" s="18">
        <v>13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18">
        <v>6</v>
      </c>
      <c r="B15" s="19" t="s">
        <v>385</v>
      </c>
      <c r="C15" s="18">
        <v>3</v>
      </c>
      <c r="D15" s="20" t="s">
        <v>11</v>
      </c>
      <c r="E15" s="21">
        <v>0</v>
      </c>
      <c r="F15" s="22"/>
      <c r="G15" s="23"/>
      <c r="H15" s="24"/>
    </row>
    <row r="16" spans="1:8" ht="24" customHeight="1" x14ac:dyDescent="0.3">
      <c r="A16" s="18">
        <v>7</v>
      </c>
      <c r="B16" s="19" t="s">
        <v>386</v>
      </c>
      <c r="C16" s="18">
        <v>6</v>
      </c>
      <c r="D16" s="20" t="s">
        <v>11</v>
      </c>
      <c r="E16" s="21">
        <v>0</v>
      </c>
      <c r="F16" s="22"/>
      <c r="G16" s="23"/>
      <c r="H16" s="24"/>
    </row>
    <row r="17" spans="1:8" ht="24" customHeight="1" x14ac:dyDescent="0.3">
      <c r="A17" s="25">
        <v>8</v>
      </c>
      <c r="B17" s="26" t="s">
        <v>387</v>
      </c>
      <c r="C17" s="25">
        <v>4</v>
      </c>
      <c r="D17" s="27" t="s">
        <v>11</v>
      </c>
      <c r="E17" s="28">
        <v>0</v>
      </c>
      <c r="F17" s="29"/>
      <c r="G17" s="30"/>
      <c r="H17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17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17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17" xr:uid="{6E0E2C8C-0AE3-4A9F-8782-A8C581CC0B08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17" xr:uid="{1F869D42-25C6-4225-9AAD-113891C6B7A1}">
      <formula1>0</formula1>
      <formula2>1</formula2>
    </dataValidation>
    <dataValidation type="decimal" allowBlank="1" showInputMessage="1" showErrorMessage="1" errorTitle="Giá trị không hợp lệ" error="Nhập điểm từ 0 đến 10." sqref="F10:F17" xr:uid="{6231C9F4-13EF-4F93-82AB-9FD6C52ADDBC}">
      <formula1>0</formula1>
      <formula2>10</formula2>
    </dataValidation>
  </dataValidations>
  <hyperlinks>
    <hyperlink ref="B3" r:id="rId1" display="03 - Hạ tầng, Mạng &amp; An ninh/01 - Mạng &amp; Giao tiếp hệ thống/fundamentals-of-backend-communications-and-protocols" xr:uid="{91E8FC2E-FBF4-4683-B1DF-E974F2E8DA1B}"/>
  </hyperlinks>
  <pageMargins left="0.7" right="0.7" top="0.75" bottom="0.75" header="0.3" footer="0.3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E8986-45E3-4DA3-B1C4-C71B4934BEA5}">
  <sheetPr>
    <tabColor rgb="FF0D9488"/>
  </sheetPr>
  <dimension ref="A1:H10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371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372</v>
      </c>
      <c r="C2" s="16" t="s">
        <v>25</v>
      </c>
      <c r="D2" s="15" t="s">
        <v>251</v>
      </c>
      <c r="E2" s="16" t="s">
        <v>26</v>
      </c>
      <c r="F2" s="15" t="s">
        <v>373</v>
      </c>
      <c r="G2" s="15"/>
      <c r="H2" s="15"/>
    </row>
    <row r="3" spans="1:8" ht="30" customHeight="1" x14ac:dyDescent="0.3">
      <c r="A3" s="16" t="s">
        <v>27</v>
      </c>
      <c r="B3" s="56" t="s">
        <v>374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COUNTA(B10:B10)</f>
        <v>1</v>
      </c>
      <c r="B6" s="59"/>
      <c r="C6" s="60">
        <f t="shared" ref="C6" si="1">COUNTIF(D10:D10,"Đã hoàn thành")</f>
        <v>0</v>
      </c>
      <c r="D6" s="60"/>
      <c r="E6" s="61">
        <f t="shared" ref="E6" si="2">IFERROR(AVERAGE(E10:E10),0)</f>
        <v>0</v>
      </c>
      <c r="F6" s="61"/>
      <c r="G6" s="62" t="str">
        <f t="shared" ref="G6" si="3">IFERROR(AVERAGE(F10:F10),"")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25">
        <v>1</v>
      </c>
      <c r="B10" s="26" t="s">
        <v>375</v>
      </c>
      <c r="C10" s="25">
        <v>498</v>
      </c>
      <c r="D10" s="27" t="s">
        <v>11</v>
      </c>
      <c r="E10" s="28">
        <v>0</v>
      </c>
      <c r="F10" s="29"/>
      <c r="G10" s="30"/>
      <c r="H10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" xr:uid="{DD37DC67-5CF4-49B5-9286-5E52B82CB744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" xr:uid="{F327588D-3F0A-4077-B03D-DA3924899834}">
      <formula1>0</formula1>
      <formula2>1</formula2>
    </dataValidation>
    <dataValidation type="decimal" allowBlank="1" showInputMessage="1" showErrorMessage="1" errorTitle="Giá trị không hợp lệ" error="Nhập điểm từ 0 đến 10." sqref="F10" xr:uid="{BFA52C03-F291-45E6-ABED-B414983BEF60}">
      <formula1>0</formula1>
      <formula2>10</formula2>
    </dataValidation>
  </dataValidations>
  <hyperlinks>
    <hyperlink ref="B3" r:id="rId1" display="02 - Lập trình &amp; Phát triển phần mềm/04 - Kiểm thử phần mềm/qa-roadmap" xr:uid="{C0B41E52-EF41-4CE7-9057-0FC6BCBB6EC4}"/>
  </hyperlinks>
  <pageMargins left="0.7" right="0.7" top="0.75" bottom="0.75" header="0.3" footer="0.3"/>
  <tableParts count="1">
    <tablePart r:id="rId2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FE8CD-032A-4D4E-B688-5A588FDC487E}">
  <sheetPr>
    <tabColor rgb="FF0D9488"/>
  </sheetPr>
  <dimension ref="A1:H10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367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368</v>
      </c>
      <c r="C2" s="16" t="s">
        <v>25</v>
      </c>
      <c r="D2" s="15" t="s">
        <v>251</v>
      </c>
      <c r="E2" s="16" t="s">
        <v>26</v>
      </c>
      <c r="F2" s="15" t="s">
        <v>358</v>
      </c>
      <c r="G2" s="15"/>
      <c r="H2" s="15"/>
    </row>
    <row r="3" spans="1:8" ht="30" customHeight="1" x14ac:dyDescent="0.3">
      <c r="A3" s="16" t="s">
        <v>27</v>
      </c>
      <c r="B3" s="56" t="s">
        <v>369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COUNTA(B10:B10)</f>
        <v>1</v>
      </c>
      <c r="B6" s="59"/>
      <c r="C6" s="60">
        <f t="shared" ref="C6" si="1">COUNTIF(D10:D10,"Đã hoàn thành")</f>
        <v>0</v>
      </c>
      <c r="D6" s="60"/>
      <c r="E6" s="61">
        <f t="shared" ref="E6" si="2">IFERROR(AVERAGE(E10:E10),0)</f>
        <v>0</v>
      </c>
      <c r="F6" s="61"/>
      <c r="G6" s="62" t="str">
        <f t="shared" ref="G6" si="3">IFERROR(AVERAGE(F10:F10),"")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25">
        <v>1</v>
      </c>
      <c r="B10" s="26" t="s">
        <v>370</v>
      </c>
      <c r="C10" s="25">
        <v>105</v>
      </c>
      <c r="D10" s="27" t="s">
        <v>11</v>
      </c>
      <c r="E10" s="28">
        <v>0</v>
      </c>
      <c r="F10" s="29"/>
      <c r="G10" s="30"/>
      <c r="H10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" xr:uid="{39026788-B29C-4C59-A9AF-9C6409221046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" xr:uid="{2211A207-A3D2-4628-9BEF-8E35C5A6BB2F}">
      <formula1>0</formula1>
      <formula2>1</formula2>
    </dataValidation>
    <dataValidation type="decimal" allowBlank="1" showInputMessage="1" showErrorMessage="1" errorTitle="Giá trị không hợp lệ" error="Nhập điểm từ 0 đến 10." sqref="F10" xr:uid="{159F63D4-FB7B-4C88-8A2F-F97EB86EFFF4}">
      <formula1>0</formula1>
      <formula2>10</formula2>
    </dataValidation>
  </dataValidations>
  <hyperlinks>
    <hyperlink ref="B3" r:id="rId1" display="02 - Lập trình &amp; Phát triển phần mềm/03 - Kiến trúc &amp; Tích hợp/software-architect-roadmap" xr:uid="{5FE8388A-86E2-4129-91B9-0D8D68364791}"/>
  </hyperlinks>
  <pageMargins left="0.7" right="0.7" top="0.75" bottom="0.75" header="0.3" footer="0.3"/>
  <tableParts count="1">
    <tablePart r:id="rId2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E6CA4-5511-4286-B9B7-D53F80EE767D}">
  <sheetPr>
    <tabColor rgb="FF0D9488"/>
  </sheetPr>
  <dimension ref="A1:H16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356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357</v>
      </c>
      <c r="C2" s="16" t="s">
        <v>25</v>
      </c>
      <c r="D2" s="15" t="s">
        <v>251</v>
      </c>
      <c r="E2" s="16" t="s">
        <v>26</v>
      </c>
      <c r="F2" s="15" t="s">
        <v>358</v>
      </c>
      <c r="G2" s="15"/>
      <c r="H2" s="15"/>
    </row>
    <row r="3" spans="1:8" ht="30" customHeight="1" x14ac:dyDescent="0.3">
      <c r="A3" s="16" t="s">
        <v>27</v>
      </c>
      <c r="B3" s="56" t="s">
        <v>359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COUNTA(B10:B16)</f>
        <v>7</v>
      </c>
      <c r="B6" s="59"/>
      <c r="C6" s="60">
        <f t="shared" ref="C6" si="1">COUNTIF(D10:D16,"Đã hoàn thành")</f>
        <v>0</v>
      </c>
      <c r="D6" s="60"/>
      <c r="E6" s="61">
        <f t="shared" ref="E6" si="2">IFERROR(AVERAGE(E10:E16),0)</f>
        <v>0</v>
      </c>
      <c r="F6" s="61"/>
      <c r="G6" s="62" t="str">
        <f t="shared" ref="G6" si="3">IFERROR(AVERAGE(F10:F16),"")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360</v>
      </c>
      <c r="C10" s="18">
        <v>38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361</v>
      </c>
      <c r="C11" s="18">
        <v>16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362</v>
      </c>
      <c r="C12" s="18">
        <v>40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363</v>
      </c>
      <c r="C13" s="18">
        <v>17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364</v>
      </c>
      <c r="C14" s="18">
        <v>22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18">
        <v>6</v>
      </c>
      <c r="B15" s="19" t="s">
        <v>365</v>
      </c>
      <c r="C15" s="18">
        <v>29</v>
      </c>
      <c r="D15" s="20" t="s">
        <v>11</v>
      </c>
      <c r="E15" s="21">
        <v>0</v>
      </c>
      <c r="F15" s="22"/>
      <c r="G15" s="23"/>
      <c r="H15" s="24"/>
    </row>
    <row r="16" spans="1:8" ht="24" customHeight="1" x14ac:dyDescent="0.3">
      <c r="A16" s="25">
        <v>7</v>
      </c>
      <c r="B16" s="26" t="s">
        <v>366</v>
      </c>
      <c r="C16" s="25">
        <v>5</v>
      </c>
      <c r="D16" s="27" t="s">
        <v>11</v>
      </c>
      <c r="E16" s="28">
        <v>0</v>
      </c>
      <c r="F16" s="29"/>
      <c r="G16" s="30"/>
      <c r="H16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16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16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16" xr:uid="{055811AE-CC22-468C-AC50-3538EEE1C741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16" xr:uid="{2557AC54-B19A-43F3-8A54-2FA9A13F4F98}">
      <formula1>0</formula1>
      <formula2>1</formula2>
    </dataValidation>
    <dataValidation type="decimal" allowBlank="1" showInputMessage="1" showErrorMessage="1" errorTitle="Giá trị không hợp lệ" error="Nhập điểm từ 0 đến 10." sqref="F10:F16" xr:uid="{E8EC9C91-D248-4650-8DC7-56FAF65537DA}">
      <formula1>0</formula1>
      <formula2>10</formula2>
    </dataValidation>
  </dataValidations>
  <hyperlinks>
    <hyperlink ref="B3" r:id="rId1" display="02 - Lập trình &amp; Phát triển phần mềm/03 - Kiến trúc &amp; Tích hợp/enterprise-integration-engineer-roadmap" xr:uid="{9A63C280-8FDA-476A-BC7E-97EB7C7F7665}"/>
  </hyperlinks>
  <pageMargins left="0.7" right="0.7" top="0.75" bottom="0.75" header="0.3" footer="0.3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454E6-59CA-4B71-A1E9-E4D7ED4E0D4E}">
  <sheetPr>
    <tabColor rgb="FF0D9488"/>
  </sheetPr>
  <dimension ref="A1:H10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352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353</v>
      </c>
      <c r="C2" s="16" t="s">
        <v>25</v>
      </c>
      <c r="D2" s="15" t="s">
        <v>251</v>
      </c>
      <c r="E2" s="16" t="s">
        <v>26</v>
      </c>
      <c r="F2" s="15" t="s">
        <v>308</v>
      </c>
      <c r="G2" s="15"/>
      <c r="H2" s="15"/>
    </row>
    <row r="3" spans="1:8" ht="30" customHeight="1" x14ac:dyDescent="0.3">
      <c r="A3" s="16" t="s">
        <v>27</v>
      </c>
      <c r="B3" s="56" t="s">
        <v>354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COUNTA(B10:B10)</f>
        <v>1</v>
      </c>
      <c r="B6" s="59"/>
      <c r="C6" s="60">
        <f t="shared" ref="C6" si="1">COUNTIF(D10:D10,"Đã hoàn thành")</f>
        <v>0</v>
      </c>
      <c r="D6" s="60"/>
      <c r="E6" s="61">
        <f t="shared" ref="E6" si="2">IFERROR(AVERAGE(E10:E10),0)</f>
        <v>0</v>
      </c>
      <c r="F6" s="61"/>
      <c r="G6" s="62" t="str">
        <f t="shared" ref="G6" si="3">IFERROR(AVERAGE(F10:F10),"")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25">
        <v>1</v>
      </c>
      <c r="B10" s="26" t="s">
        <v>355</v>
      </c>
      <c r="C10" s="25">
        <v>457</v>
      </c>
      <c r="D10" s="27" t="s">
        <v>11</v>
      </c>
      <c r="E10" s="28">
        <v>0</v>
      </c>
      <c r="F10" s="29"/>
      <c r="G10" s="30"/>
      <c r="H10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" xr:uid="{A1489BB6-A2D4-473F-9079-A232DA369327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" xr:uid="{A0B7F4E6-BA77-4329-ABA7-F715EC64CA78}">
      <formula1>0</formula1>
      <formula2>1</formula2>
    </dataValidation>
    <dataValidation type="decimal" allowBlank="1" showInputMessage="1" showErrorMessage="1" errorTitle="Giá trị không hợp lệ" error="Nhập điểm từ 0 đến 10." sqref="F10" xr:uid="{87C30E9C-B1E7-4407-A59D-3B8469FC975C}">
      <formula1>0</formula1>
      <formula2>10</formula2>
    </dataValidation>
  </dataValidations>
  <hyperlinks>
    <hyperlink ref="B3" r:id="rId1" display="02 - Lập trình &amp; Phát triển phần mềm/02 - Mobile/ios-roadmap" xr:uid="{01F4311A-27EB-4CD6-8972-F24C43928752}"/>
  </hyperlinks>
  <pageMargins left="0.7" right="0.7" top="0.75" bottom="0.75" header="0.3" footer="0.3"/>
  <tableParts count="1">
    <tablePart r:id="rId2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B9D7F-50A1-4DCF-AE35-8DED7B38A54B}">
  <sheetPr>
    <tabColor rgb="FF0D9488"/>
  </sheetPr>
  <dimension ref="A1:H24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335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336</v>
      </c>
      <c r="C2" s="16" t="s">
        <v>25</v>
      </c>
      <c r="D2" s="15" t="s">
        <v>251</v>
      </c>
      <c r="E2" s="16" t="s">
        <v>26</v>
      </c>
      <c r="F2" s="15" t="s">
        <v>308</v>
      </c>
      <c r="G2" s="15"/>
      <c r="H2" s="15"/>
    </row>
    <row r="3" spans="1:8" ht="30" customHeight="1" x14ac:dyDescent="0.3">
      <c r="A3" s="16" t="s">
        <v>27</v>
      </c>
      <c r="B3" s="56" t="s">
        <v>337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COUNTA(B10:B24)</f>
        <v>15</v>
      </c>
      <c r="B6" s="59"/>
      <c r="C6" s="60">
        <f t="shared" ref="C6" si="1">COUNTIF(D10:D24,"Đã hoàn thành")</f>
        <v>0</v>
      </c>
      <c r="D6" s="60"/>
      <c r="E6" s="61">
        <f t="shared" ref="E6" si="2">IFERROR(AVERAGE(E10:E24),0)</f>
        <v>0</v>
      </c>
      <c r="F6" s="61"/>
      <c r="G6" s="62" t="str">
        <f t="shared" ref="G6" si="3">IFERROR(AVERAGE(F10:F24),"")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62</v>
      </c>
      <c r="C10" s="18">
        <v>12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338</v>
      </c>
      <c r="C11" s="18">
        <v>40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339</v>
      </c>
      <c r="C12" s="18">
        <v>40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340</v>
      </c>
      <c r="C13" s="18">
        <v>6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341</v>
      </c>
      <c r="C14" s="18">
        <v>38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18">
        <v>6</v>
      </c>
      <c r="B15" s="19" t="s">
        <v>342</v>
      </c>
      <c r="C15" s="18">
        <v>10</v>
      </c>
      <c r="D15" s="20" t="s">
        <v>11</v>
      </c>
      <c r="E15" s="21">
        <v>0</v>
      </c>
      <c r="F15" s="22"/>
      <c r="G15" s="23"/>
      <c r="H15" s="24"/>
    </row>
    <row r="16" spans="1:8" ht="24" customHeight="1" x14ac:dyDescent="0.3">
      <c r="A16" s="18">
        <v>7</v>
      </c>
      <c r="B16" s="19" t="s">
        <v>343</v>
      </c>
      <c r="C16" s="18">
        <v>9</v>
      </c>
      <c r="D16" s="20" t="s">
        <v>11</v>
      </c>
      <c r="E16" s="21">
        <v>0</v>
      </c>
      <c r="F16" s="22"/>
      <c r="G16" s="23"/>
      <c r="H16" s="24"/>
    </row>
    <row r="17" spans="1:8" ht="24" customHeight="1" x14ac:dyDescent="0.3">
      <c r="A17" s="18">
        <v>8</v>
      </c>
      <c r="B17" s="19" t="s">
        <v>344</v>
      </c>
      <c r="C17" s="18">
        <v>28</v>
      </c>
      <c r="D17" s="20" t="s">
        <v>11</v>
      </c>
      <c r="E17" s="21">
        <v>0</v>
      </c>
      <c r="F17" s="22"/>
      <c r="G17" s="23"/>
      <c r="H17" s="24"/>
    </row>
    <row r="18" spans="1:8" ht="24" customHeight="1" x14ac:dyDescent="0.3">
      <c r="A18" s="18">
        <v>9</v>
      </c>
      <c r="B18" s="19" t="s">
        <v>345</v>
      </c>
      <c r="C18" s="18">
        <v>17</v>
      </c>
      <c r="D18" s="20" t="s">
        <v>11</v>
      </c>
      <c r="E18" s="21">
        <v>0</v>
      </c>
      <c r="F18" s="22"/>
      <c r="G18" s="23"/>
      <c r="H18" s="24"/>
    </row>
    <row r="19" spans="1:8" ht="24" customHeight="1" x14ac:dyDescent="0.3">
      <c r="A19" s="18">
        <v>10</v>
      </c>
      <c r="B19" s="19" t="s">
        <v>346</v>
      </c>
      <c r="C19" s="18">
        <v>9</v>
      </c>
      <c r="D19" s="20" t="s">
        <v>11</v>
      </c>
      <c r="E19" s="21">
        <v>0</v>
      </c>
      <c r="F19" s="22"/>
      <c r="G19" s="23"/>
      <c r="H19" s="24"/>
    </row>
    <row r="20" spans="1:8" ht="24" customHeight="1" x14ac:dyDescent="0.3">
      <c r="A20" s="18">
        <v>11</v>
      </c>
      <c r="B20" s="19" t="s">
        <v>347</v>
      </c>
      <c r="C20" s="18">
        <v>14</v>
      </c>
      <c r="D20" s="20" t="s">
        <v>11</v>
      </c>
      <c r="E20" s="21">
        <v>0</v>
      </c>
      <c r="F20" s="22"/>
      <c r="G20" s="23"/>
      <c r="H20" s="24"/>
    </row>
    <row r="21" spans="1:8" ht="24" customHeight="1" x14ac:dyDescent="0.3">
      <c r="A21" s="18">
        <v>12</v>
      </c>
      <c r="B21" s="19" t="s">
        <v>348</v>
      </c>
      <c r="C21" s="18">
        <v>16</v>
      </c>
      <c r="D21" s="20" t="s">
        <v>11</v>
      </c>
      <c r="E21" s="21">
        <v>0</v>
      </c>
      <c r="F21" s="22"/>
      <c r="G21" s="23"/>
      <c r="H21" s="24"/>
    </row>
    <row r="22" spans="1:8" ht="24" customHeight="1" x14ac:dyDescent="0.3">
      <c r="A22" s="18">
        <v>13</v>
      </c>
      <c r="B22" s="19" t="s">
        <v>349</v>
      </c>
      <c r="C22" s="18">
        <v>34</v>
      </c>
      <c r="D22" s="20" t="s">
        <v>11</v>
      </c>
      <c r="E22" s="21">
        <v>0</v>
      </c>
      <c r="F22" s="22"/>
      <c r="G22" s="23"/>
      <c r="H22" s="24"/>
    </row>
    <row r="23" spans="1:8" ht="24" customHeight="1" x14ac:dyDescent="0.3">
      <c r="A23" s="18">
        <v>14</v>
      </c>
      <c r="B23" s="19" t="s">
        <v>350</v>
      </c>
      <c r="C23" s="18">
        <v>34</v>
      </c>
      <c r="D23" s="20" t="s">
        <v>11</v>
      </c>
      <c r="E23" s="21">
        <v>0</v>
      </c>
      <c r="F23" s="22"/>
      <c r="G23" s="23"/>
      <c r="H23" s="24"/>
    </row>
    <row r="24" spans="1:8" ht="24" customHeight="1" x14ac:dyDescent="0.3">
      <c r="A24" s="25">
        <v>15</v>
      </c>
      <c r="B24" s="26" t="s">
        <v>351</v>
      </c>
      <c r="C24" s="25">
        <v>5</v>
      </c>
      <c r="D24" s="27" t="s">
        <v>11</v>
      </c>
      <c r="E24" s="28">
        <v>0</v>
      </c>
      <c r="F24" s="29"/>
      <c r="G24" s="30"/>
      <c r="H24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24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24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24" xr:uid="{ADB57D76-8D90-46C1-96B2-2696BC653E0D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24" xr:uid="{934FBBA9-67FA-41A3-8FA2-2313E0A8411E}">
      <formula1>0</formula1>
      <formula2>1</formula2>
    </dataValidation>
    <dataValidation type="decimal" allowBlank="1" showInputMessage="1" showErrorMessage="1" errorTitle="Giá trị không hợp lệ" error="Nhập điểm từ 0 đến 10." sqref="F10:F24" xr:uid="{041F2693-F2E3-4DBA-BA07-8A6FE189FD88}">
      <formula1>0</formula1>
      <formula2>10</formula2>
    </dataValidation>
  </dataValidations>
  <hyperlinks>
    <hyperlink ref="B3" r:id="rId1" display="02 - Lập trình &amp; Phát triển phần mềm/02 - Mobile/flutter-dart-the-complete-guide" xr:uid="{F194B299-4AA9-4CB2-9A1D-5F1223ED8A05}"/>
  </hyperlinks>
  <pageMargins left="0.7" right="0.7" top="0.75" bottom="0.75" header="0.3" footer="0.3"/>
  <tableParts count="1">
    <tablePart r:id="rId2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5E859-0E55-4E24-AFFB-C9D969D0D661}">
  <sheetPr>
    <tabColor rgb="FF0D9488"/>
  </sheetPr>
  <dimension ref="A1:H31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311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312</v>
      </c>
      <c r="C2" s="16" t="s">
        <v>25</v>
      </c>
      <c r="D2" s="15" t="s">
        <v>251</v>
      </c>
      <c r="E2" s="16" t="s">
        <v>26</v>
      </c>
      <c r="F2" s="15" t="s">
        <v>308</v>
      </c>
      <c r="G2" s="15"/>
      <c r="H2" s="15"/>
    </row>
    <row r="3" spans="1:8" ht="30" customHeight="1" x14ac:dyDescent="0.3">
      <c r="A3" s="16" t="s">
        <v>27</v>
      </c>
      <c r="B3" s="56" t="s">
        <v>313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COUNTA(B10:B31)</f>
        <v>22</v>
      </c>
      <c r="B6" s="59"/>
      <c r="C6" s="60">
        <f t="shared" ref="C6" si="1">COUNTIF(D10:D31,"Đã hoàn thành")</f>
        <v>0</v>
      </c>
      <c r="D6" s="60"/>
      <c r="E6" s="61">
        <f t="shared" ref="E6" si="2">IFERROR(AVERAGE(E10:E31),0)</f>
        <v>0</v>
      </c>
      <c r="F6" s="61"/>
      <c r="G6" s="62" t="str">
        <f t="shared" ref="G6" si="3">IFERROR(AVERAGE(F10:F31),"")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62</v>
      </c>
      <c r="C10" s="18">
        <v>3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314</v>
      </c>
      <c r="C11" s="18">
        <v>5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315</v>
      </c>
      <c r="C12" s="18">
        <v>3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316</v>
      </c>
      <c r="C13" s="18">
        <v>7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317</v>
      </c>
      <c r="C14" s="18">
        <v>2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18">
        <v>6</v>
      </c>
      <c r="B15" s="19" t="s">
        <v>318</v>
      </c>
      <c r="C15" s="18">
        <v>4</v>
      </c>
      <c r="D15" s="20" t="s">
        <v>11</v>
      </c>
      <c r="E15" s="21">
        <v>0</v>
      </c>
      <c r="F15" s="22"/>
      <c r="G15" s="23"/>
      <c r="H15" s="24"/>
    </row>
    <row r="16" spans="1:8" ht="24" customHeight="1" x14ac:dyDescent="0.3">
      <c r="A16" s="18">
        <v>7</v>
      </c>
      <c r="B16" s="19" t="s">
        <v>319</v>
      </c>
      <c r="C16" s="18">
        <v>4</v>
      </c>
      <c r="D16" s="20" t="s">
        <v>11</v>
      </c>
      <c r="E16" s="21">
        <v>0</v>
      </c>
      <c r="F16" s="22"/>
      <c r="G16" s="23"/>
      <c r="H16" s="24"/>
    </row>
    <row r="17" spans="1:8" ht="24" customHeight="1" x14ac:dyDescent="0.3">
      <c r="A17" s="18">
        <v>8</v>
      </c>
      <c r="B17" s="19" t="s">
        <v>320</v>
      </c>
      <c r="C17" s="18">
        <v>9</v>
      </c>
      <c r="D17" s="20" t="s">
        <v>11</v>
      </c>
      <c r="E17" s="21">
        <v>0</v>
      </c>
      <c r="F17" s="22"/>
      <c r="G17" s="23"/>
      <c r="H17" s="24"/>
    </row>
    <row r="18" spans="1:8" ht="24" customHeight="1" x14ac:dyDescent="0.3">
      <c r="A18" s="18">
        <v>9</v>
      </c>
      <c r="B18" s="19" t="s">
        <v>321</v>
      </c>
      <c r="C18" s="18">
        <v>15</v>
      </c>
      <c r="D18" s="20" t="s">
        <v>11</v>
      </c>
      <c r="E18" s="21">
        <v>0</v>
      </c>
      <c r="F18" s="22"/>
      <c r="G18" s="23"/>
      <c r="H18" s="24"/>
    </row>
    <row r="19" spans="1:8" ht="24" customHeight="1" x14ac:dyDescent="0.3">
      <c r="A19" s="18">
        <v>10</v>
      </c>
      <c r="B19" s="19" t="s">
        <v>322</v>
      </c>
      <c r="C19" s="18">
        <v>7</v>
      </c>
      <c r="D19" s="20" t="s">
        <v>11</v>
      </c>
      <c r="E19" s="21">
        <v>0</v>
      </c>
      <c r="F19" s="22"/>
      <c r="G19" s="23"/>
      <c r="H19" s="24"/>
    </row>
    <row r="20" spans="1:8" ht="24" customHeight="1" x14ac:dyDescent="0.3">
      <c r="A20" s="18">
        <v>11</v>
      </c>
      <c r="B20" s="19" t="s">
        <v>323</v>
      </c>
      <c r="C20" s="18">
        <v>4</v>
      </c>
      <c r="D20" s="20" t="s">
        <v>11</v>
      </c>
      <c r="E20" s="21">
        <v>0</v>
      </c>
      <c r="F20" s="22"/>
      <c r="G20" s="23"/>
      <c r="H20" s="24"/>
    </row>
    <row r="21" spans="1:8" ht="24" customHeight="1" x14ac:dyDescent="0.3">
      <c r="A21" s="18">
        <v>12</v>
      </c>
      <c r="B21" s="19" t="s">
        <v>324</v>
      </c>
      <c r="C21" s="18">
        <v>6</v>
      </c>
      <c r="D21" s="20" t="s">
        <v>11</v>
      </c>
      <c r="E21" s="21">
        <v>0</v>
      </c>
      <c r="F21" s="22"/>
      <c r="G21" s="23"/>
      <c r="H21" s="24"/>
    </row>
    <row r="22" spans="1:8" ht="24" customHeight="1" x14ac:dyDescent="0.3">
      <c r="A22" s="18">
        <v>13</v>
      </c>
      <c r="B22" s="19" t="s">
        <v>325</v>
      </c>
      <c r="C22" s="18">
        <v>8</v>
      </c>
      <c r="D22" s="20" t="s">
        <v>11</v>
      </c>
      <c r="E22" s="21">
        <v>0</v>
      </c>
      <c r="F22" s="22"/>
      <c r="G22" s="23"/>
      <c r="H22" s="24"/>
    </row>
    <row r="23" spans="1:8" ht="24" customHeight="1" x14ac:dyDescent="0.3">
      <c r="A23" s="18">
        <v>14</v>
      </c>
      <c r="B23" s="19" t="s">
        <v>326</v>
      </c>
      <c r="C23" s="18">
        <v>9</v>
      </c>
      <c r="D23" s="20" t="s">
        <v>11</v>
      </c>
      <c r="E23" s="21">
        <v>0</v>
      </c>
      <c r="F23" s="22"/>
      <c r="G23" s="23"/>
      <c r="H23" s="24"/>
    </row>
    <row r="24" spans="1:8" ht="24" customHeight="1" x14ac:dyDescent="0.3">
      <c r="A24" s="18">
        <v>15</v>
      </c>
      <c r="B24" s="19" t="s">
        <v>327</v>
      </c>
      <c r="C24" s="18">
        <v>11</v>
      </c>
      <c r="D24" s="20" t="s">
        <v>11</v>
      </c>
      <c r="E24" s="21">
        <v>0</v>
      </c>
      <c r="F24" s="22"/>
      <c r="G24" s="23"/>
      <c r="H24" s="24"/>
    </row>
    <row r="25" spans="1:8" ht="24" customHeight="1" x14ac:dyDescent="0.3">
      <c r="A25" s="18">
        <v>16</v>
      </c>
      <c r="B25" s="19" t="s">
        <v>328</v>
      </c>
      <c r="C25" s="18">
        <v>1</v>
      </c>
      <c r="D25" s="20" t="s">
        <v>11</v>
      </c>
      <c r="E25" s="21">
        <v>0</v>
      </c>
      <c r="F25" s="22"/>
      <c r="G25" s="23"/>
      <c r="H25" s="24"/>
    </row>
    <row r="26" spans="1:8" ht="24" customHeight="1" x14ac:dyDescent="0.3">
      <c r="A26" s="18">
        <v>17</v>
      </c>
      <c r="B26" s="19" t="s">
        <v>329</v>
      </c>
      <c r="C26" s="18">
        <v>1</v>
      </c>
      <c r="D26" s="20" t="s">
        <v>11</v>
      </c>
      <c r="E26" s="21">
        <v>0</v>
      </c>
      <c r="F26" s="22"/>
      <c r="G26" s="23"/>
      <c r="H26" s="24"/>
    </row>
    <row r="27" spans="1:8" ht="24" customHeight="1" x14ac:dyDescent="0.3">
      <c r="A27" s="18">
        <v>18</v>
      </c>
      <c r="B27" s="19" t="s">
        <v>330</v>
      </c>
      <c r="C27" s="18">
        <v>2</v>
      </c>
      <c r="D27" s="20" t="s">
        <v>11</v>
      </c>
      <c r="E27" s="21">
        <v>0</v>
      </c>
      <c r="F27" s="22"/>
      <c r="G27" s="23"/>
      <c r="H27" s="24"/>
    </row>
    <row r="28" spans="1:8" ht="24" customHeight="1" x14ac:dyDescent="0.3">
      <c r="A28" s="18">
        <v>19</v>
      </c>
      <c r="B28" s="19" t="s">
        <v>331</v>
      </c>
      <c r="C28" s="18">
        <v>1</v>
      </c>
      <c r="D28" s="20" t="s">
        <v>11</v>
      </c>
      <c r="E28" s="21">
        <v>0</v>
      </c>
      <c r="F28" s="22"/>
      <c r="G28" s="23"/>
      <c r="H28" s="24"/>
    </row>
    <row r="29" spans="1:8" ht="24" customHeight="1" x14ac:dyDescent="0.3">
      <c r="A29" s="18">
        <v>20</v>
      </c>
      <c r="B29" s="19" t="s">
        <v>332</v>
      </c>
      <c r="C29" s="18">
        <v>1</v>
      </c>
      <c r="D29" s="20" t="s">
        <v>11</v>
      </c>
      <c r="E29" s="21">
        <v>0</v>
      </c>
      <c r="F29" s="22"/>
      <c r="G29" s="23"/>
      <c r="H29" s="24"/>
    </row>
    <row r="30" spans="1:8" ht="24" customHeight="1" x14ac:dyDescent="0.3">
      <c r="A30" s="18">
        <v>21</v>
      </c>
      <c r="B30" s="19" t="s">
        <v>333</v>
      </c>
      <c r="C30" s="18">
        <v>1</v>
      </c>
      <c r="D30" s="20" t="s">
        <v>11</v>
      </c>
      <c r="E30" s="21">
        <v>0</v>
      </c>
      <c r="F30" s="22"/>
      <c r="G30" s="23"/>
      <c r="H30" s="24"/>
    </row>
    <row r="31" spans="1:8" ht="24" customHeight="1" x14ac:dyDescent="0.3">
      <c r="A31" s="25">
        <v>22</v>
      </c>
      <c r="B31" s="26" t="s">
        <v>334</v>
      </c>
      <c r="C31" s="25">
        <v>1</v>
      </c>
      <c r="D31" s="27" t="s">
        <v>11</v>
      </c>
      <c r="E31" s="28">
        <v>0</v>
      </c>
      <c r="F31" s="29"/>
      <c r="G31" s="30"/>
      <c r="H31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31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31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31" xr:uid="{5A28AA09-63D1-40B2-93D6-BF064548E141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31" xr:uid="{DBE7FF9F-F538-4E64-942F-4CF9C9AE0DB6}">
      <formula1>0</formula1>
      <formula2>1</formula2>
    </dataValidation>
    <dataValidation type="decimal" allowBlank="1" showInputMessage="1" showErrorMessage="1" errorTitle="Giá trị không hợp lệ" error="Nhập điểm từ 0 đến 10." sqref="F10:F31" xr:uid="{174D983A-FA21-46EF-B1FE-6D3D93EC9C44}">
      <formula1>0</formula1>
      <formula2>10</formula2>
    </dataValidation>
  </dataValidations>
  <hyperlinks>
    <hyperlink ref="B3" r:id="rId1" display="02 - Lập trình &amp; Phát triển phần mềm/02 - Mobile/flutter-ai-masterclass-cursor-figma" xr:uid="{1CF09031-C714-44C3-B021-3164057A5A47}"/>
  </hyperlinks>
  <pageMargins left="0.7" right="0.7" top="0.75" bottom="0.75" header="0.3" footer="0.3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CC0BB-EA00-400D-A9AB-4E546B46BA3F}">
  <sheetPr>
    <tabColor rgb="FF0D9488"/>
  </sheetPr>
  <dimension ref="A1:H10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306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307</v>
      </c>
      <c r="C2" s="16" t="s">
        <v>25</v>
      </c>
      <c r="D2" s="15" t="s">
        <v>251</v>
      </c>
      <c r="E2" s="16" t="s">
        <v>26</v>
      </c>
      <c r="F2" s="15" t="s">
        <v>308</v>
      </c>
      <c r="G2" s="15"/>
      <c r="H2" s="15"/>
    </row>
    <row r="3" spans="1:8" ht="30" customHeight="1" x14ac:dyDescent="0.3">
      <c r="A3" s="16" t="s">
        <v>27</v>
      </c>
      <c r="B3" s="56" t="s">
        <v>309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COUNTA(B10:B10)</f>
        <v>1</v>
      </c>
      <c r="B6" s="59"/>
      <c r="C6" s="60">
        <f t="shared" ref="C6" si="1">COUNTIF(D10:D10,"Đã hoàn thành")</f>
        <v>0</v>
      </c>
      <c r="D6" s="60"/>
      <c r="E6" s="61">
        <f t="shared" ref="E6" si="2">IFERROR(AVERAGE(E10:E10),0)</f>
        <v>0</v>
      </c>
      <c r="F6" s="61"/>
      <c r="G6" s="62" t="str">
        <f t="shared" ref="G6" si="3">IFERROR(AVERAGE(F10:F10),"")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25">
        <v>1</v>
      </c>
      <c r="B10" s="26" t="s">
        <v>310</v>
      </c>
      <c r="C10" s="25">
        <v>351</v>
      </c>
      <c r="D10" s="27" t="s">
        <v>11</v>
      </c>
      <c r="E10" s="28">
        <v>0</v>
      </c>
      <c r="F10" s="29"/>
      <c r="G10" s="30"/>
      <c r="H10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" xr:uid="{CC71B1AB-16FF-46E8-A850-7A3C9DE1FF28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" xr:uid="{BDA394DC-0F71-4518-B232-2A489068F905}">
      <formula1>0</formula1>
      <formula2>1</formula2>
    </dataValidation>
    <dataValidation type="decimal" allowBlank="1" showInputMessage="1" showErrorMessage="1" errorTitle="Giá trị không hợp lệ" error="Nhập điểm từ 0 đến 10." sqref="F10" xr:uid="{67FAF9FA-1AFE-45F8-ABEE-3B6B29C13425}">
      <formula1>0</formula1>
      <formula2>10</formula2>
    </dataValidation>
  </dataValidations>
  <hyperlinks>
    <hyperlink ref="B3" r:id="rId1" display="02 - Lập trình &amp; Phát triển phần mềm/02 - Mobile/android-roadmap" xr:uid="{B53FF555-F87D-4C6B-9F14-BE6ED7043561}"/>
  </hyperlinks>
  <pageMargins left="0.7" right="0.7" top="0.75" bottom="0.75" header="0.3" footer="0.3"/>
  <tableParts count="1">
    <tablePart r:id="rId2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D9E06-375E-4EA0-A5A9-187E07AE776D}">
  <sheetPr>
    <tabColor rgb="FF0D9488"/>
  </sheetPr>
  <dimension ref="A1:H10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302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303</v>
      </c>
      <c r="C2" s="16" t="s">
        <v>25</v>
      </c>
      <c r="D2" s="15" t="s">
        <v>251</v>
      </c>
      <c r="E2" s="16" t="s">
        <v>26</v>
      </c>
      <c r="F2" s="15" t="s">
        <v>252</v>
      </c>
      <c r="G2" s="15"/>
      <c r="H2" s="15"/>
    </row>
    <row r="3" spans="1:8" ht="30" customHeight="1" x14ac:dyDescent="0.3">
      <c r="A3" s="16" t="s">
        <v>27</v>
      </c>
      <c r="B3" s="56" t="s">
        <v>304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COUNTA(B10:B10)</f>
        <v>1</v>
      </c>
      <c r="B6" s="59"/>
      <c r="C6" s="60">
        <f t="shared" ref="C6" si="1">COUNTIF(D10:D10,"Đã hoàn thành")</f>
        <v>0</v>
      </c>
      <c r="D6" s="60"/>
      <c r="E6" s="61">
        <f t="shared" ref="E6" si="2">IFERROR(AVERAGE(E10:E10),0)</f>
        <v>0</v>
      </c>
      <c r="F6" s="61"/>
      <c r="G6" s="62" t="str">
        <f t="shared" ref="G6" si="3">IFERROR(AVERAGE(F10:F10),"")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25">
        <v>1</v>
      </c>
      <c r="B10" s="26" t="s">
        <v>305</v>
      </c>
      <c r="C10" s="25">
        <v>390</v>
      </c>
      <c r="D10" s="27" t="s">
        <v>11</v>
      </c>
      <c r="E10" s="28">
        <v>0</v>
      </c>
      <c r="F10" s="29"/>
      <c r="G10" s="30"/>
      <c r="H10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" xr:uid="{E15C6A21-CAE0-453B-9364-E32D6CA77D89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" xr:uid="{FDB2A057-7125-4059-AB64-B6CC5F97FBA8}">
      <formula1>0</formula1>
      <formula2>1</formula2>
    </dataValidation>
    <dataValidation type="decimal" allowBlank="1" showInputMessage="1" showErrorMessage="1" errorTitle="Giá trị không hợp lệ" error="Nhập điểm từ 0 đến 10." sqref="F10" xr:uid="{E9A0DB6E-8EE6-4689-A4B9-F11A26675A43}">
      <formula1>0</formula1>
      <formula2>10</formula2>
    </dataValidation>
  </dataValidations>
  <hyperlinks>
    <hyperlink ref="B3" r:id="rId1" display="02 - Lập trình &amp; Phát triển phần mềm/01 - Web &amp; Backend/postgresql-dba-roadmap" xr:uid="{9FCE63DC-FABD-4F24-A2C7-6D0DF6B24B1D}"/>
  </hyperlinks>
  <pageMargins left="0.7" right="0.7" top="0.75" bottom="0.75" header="0.3" footer="0.3"/>
  <tableParts count="1">
    <tablePart r:id="rId2"/>
  </tablePart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3A6B5-2AEB-48F7-A7F7-6392C3B823E9}">
  <sheetPr>
    <tabColor rgb="FF0D9488"/>
  </sheetPr>
  <dimension ref="A1:H45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264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265</v>
      </c>
      <c r="C2" s="16" t="s">
        <v>25</v>
      </c>
      <c r="D2" s="15" t="s">
        <v>251</v>
      </c>
      <c r="E2" s="16" t="s">
        <v>26</v>
      </c>
      <c r="F2" s="15" t="s">
        <v>252</v>
      </c>
      <c r="G2" s="15"/>
      <c r="H2" s="15"/>
    </row>
    <row r="3" spans="1:8" ht="30" customHeight="1" x14ac:dyDescent="0.3">
      <c r="A3" s="16" t="s">
        <v>27</v>
      </c>
      <c r="B3" s="56" t="s">
        <v>266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COUNTA(B10:B45)</f>
        <v>36</v>
      </c>
      <c r="B6" s="59"/>
      <c r="C6" s="60">
        <f t="shared" ref="C6" si="1">COUNTIF(D10:D45,"Đã hoàn thành")</f>
        <v>0</v>
      </c>
      <c r="D6" s="60"/>
      <c r="E6" s="61">
        <f t="shared" ref="E6" si="2">IFERROR(AVERAGE(E10:E45),0)</f>
        <v>0</v>
      </c>
      <c r="F6" s="61"/>
      <c r="G6" s="62" t="str">
        <f t="shared" ref="G6" si="3">IFERROR(AVERAGE(F10:F45),"")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62</v>
      </c>
      <c r="C10" s="18">
        <v>9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267</v>
      </c>
      <c r="C11" s="18">
        <v>14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268</v>
      </c>
      <c r="C12" s="18">
        <v>18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269</v>
      </c>
      <c r="C13" s="18">
        <v>16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270</v>
      </c>
      <c r="C14" s="18">
        <v>23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18">
        <v>6</v>
      </c>
      <c r="B15" s="19" t="s">
        <v>271</v>
      </c>
      <c r="C15" s="18">
        <v>19</v>
      </c>
      <c r="D15" s="20" t="s">
        <v>11</v>
      </c>
      <c r="E15" s="21">
        <v>0</v>
      </c>
      <c r="F15" s="22"/>
      <c r="G15" s="23"/>
      <c r="H15" s="24"/>
    </row>
    <row r="16" spans="1:8" ht="24" customHeight="1" x14ac:dyDescent="0.3">
      <c r="A16" s="18">
        <v>7</v>
      </c>
      <c r="B16" s="19" t="s">
        <v>272</v>
      </c>
      <c r="C16" s="18">
        <v>10</v>
      </c>
      <c r="D16" s="20" t="s">
        <v>11</v>
      </c>
      <c r="E16" s="21">
        <v>0</v>
      </c>
      <c r="F16" s="22"/>
      <c r="G16" s="23"/>
      <c r="H16" s="24"/>
    </row>
    <row r="17" spans="1:8" ht="24" customHeight="1" x14ac:dyDescent="0.3">
      <c r="A17" s="18">
        <v>8</v>
      </c>
      <c r="B17" s="19" t="s">
        <v>273</v>
      </c>
      <c r="C17" s="18">
        <v>9</v>
      </c>
      <c r="D17" s="20" t="s">
        <v>11</v>
      </c>
      <c r="E17" s="21">
        <v>0</v>
      </c>
      <c r="F17" s="22"/>
      <c r="G17" s="23"/>
      <c r="H17" s="24"/>
    </row>
    <row r="18" spans="1:8" ht="24" customHeight="1" x14ac:dyDescent="0.3">
      <c r="A18" s="18">
        <v>9</v>
      </c>
      <c r="B18" s="19" t="s">
        <v>274</v>
      </c>
      <c r="C18" s="18">
        <v>20</v>
      </c>
      <c r="D18" s="20" t="s">
        <v>11</v>
      </c>
      <c r="E18" s="21">
        <v>0</v>
      </c>
      <c r="F18" s="22"/>
      <c r="G18" s="23"/>
      <c r="H18" s="24"/>
    </row>
    <row r="19" spans="1:8" ht="24" customHeight="1" x14ac:dyDescent="0.3">
      <c r="A19" s="18">
        <v>10</v>
      </c>
      <c r="B19" s="19" t="s">
        <v>275</v>
      </c>
      <c r="C19" s="18">
        <v>14</v>
      </c>
      <c r="D19" s="20" t="s">
        <v>11</v>
      </c>
      <c r="E19" s="21">
        <v>0</v>
      </c>
      <c r="F19" s="22"/>
      <c r="G19" s="23"/>
      <c r="H19" s="24"/>
    </row>
    <row r="20" spans="1:8" ht="24" customHeight="1" x14ac:dyDescent="0.3">
      <c r="A20" s="18">
        <v>11</v>
      </c>
      <c r="B20" s="19" t="s">
        <v>276</v>
      </c>
      <c r="C20" s="18">
        <v>27</v>
      </c>
      <c r="D20" s="20" t="s">
        <v>11</v>
      </c>
      <c r="E20" s="21">
        <v>0</v>
      </c>
      <c r="F20" s="22"/>
      <c r="G20" s="23"/>
      <c r="H20" s="24"/>
    </row>
    <row r="21" spans="1:8" ht="24" customHeight="1" x14ac:dyDescent="0.3">
      <c r="A21" s="18">
        <v>12</v>
      </c>
      <c r="B21" s="19" t="s">
        <v>277</v>
      </c>
      <c r="C21" s="18">
        <v>33</v>
      </c>
      <c r="D21" s="20" t="s">
        <v>11</v>
      </c>
      <c r="E21" s="21">
        <v>0</v>
      </c>
      <c r="F21" s="22"/>
      <c r="G21" s="23"/>
      <c r="H21" s="24"/>
    </row>
    <row r="22" spans="1:8" ht="24" customHeight="1" x14ac:dyDescent="0.3">
      <c r="A22" s="18">
        <v>13</v>
      </c>
      <c r="B22" s="19" t="s">
        <v>278</v>
      </c>
      <c r="C22" s="18">
        <v>21</v>
      </c>
      <c r="D22" s="20" t="s">
        <v>11</v>
      </c>
      <c r="E22" s="21">
        <v>0</v>
      </c>
      <c r="F22" s="22"/>
      <c r="G22" s="23"/>
      <c r="H22" s="24"/>
    </row>
    <row r="23" spans="1:8" ht="24" customHeight="1" x14ac:dyDescent="0.3">
      <c r="A23" s="18">
        <v>14</v>
      </c>
      <c r="B23" s="19" t="s">
        <v>279</v>
      </c>
      <c r="C23" s="18">
        <v>21</v>
      </c>
      <c r="D23" s="20" t="s">
        <v>11</v>
      </c>
      <c r="E23" s="21">
        <v>0</v>
      </c>
      <c r="F23" s="22"/>
      <c r="G23" s="23"/>
      <c r="H23" s="24"/>
    </row>
    <row r="24" spans="1:8" ht="24" customHeight="1" x14ac:dyDescent="0.3">
      <c r="A24" s="18">
        <v>15</v>
      </c>
      <c r="B24" s="19" t="s">
        <v>280</v>
      </c>
      <c r="C24" s="18">
        <v>21</v>
      </c>
      <c r="D24" s="20" t="s">
        <v>11</v>
      </c>
      <c r="E24" s="21">
        <v>0</v>
      </c>
      <c r="F24" s="22"/>
      <c r="G24" s="23"/>
      <c r="H24" s="24"/>
    </row>
    <row r="25" spans="1:8" ht="24" customHeight="1" x14ac:dyDescent="0.3">
      <c r="A25" s="18">
        <v>16</v>
      </c>
      <c r="B25" s="19" t="s">
        <v>281</v>
      </c>
      <c r="C25" s="18">
        <v>6</v>
      </c>
      <c r="D25" s="20" t="s">
        <v>11</v>
      </c>
      <c r="E25" s="21">
        <v>0</v>
      </c>
      <c r="F25" s="22"/>
      <c r="G25" s="23"/>
      <c r="H25" s="24"/>
    </row>
    <row r="26" spans="1:8" ht="24" customHeight="1" x14ac:dyDescent="0.3">
      <c r="A26" s="18">
        <v>17</v>
      </c>
      <c r="B26" s="19" t="s">
        <v>282</v>
      </c>
      <c r="C26" s="18">
        <v>12</v>
      </c>
      <c r="D26" s="20" t="s">
        <v>11</v>
      </c>
      <c r="E26" s="21">
        <v>0</v>
      </c>
      <c r="F26" s="22"/>
      <c r="G26" s="23"/>
      <c r="H26" s="24"/>
    </row>
    <row r="27" spans="1:8" ht="24" customHeight="1" x14ac:dyDescent="0.3">
      <c r="A27" s="18">
        <v>18</v>
      </c>
      <c r="B27" s="19" t="s">
        <v>283</v>
      </c>
      <c r="C27" s="18">
        <v>18</v>
      </c>
      <c r="D27" s="20" t="s">
        <v>11</v>
      </c>
      <c r="E27" s="21">
        <v>0</v>
      </c>
      <c r="F27" s="22"/>
      <c r="G27" s="23"/>
      <c r="H27" s="24"/>
    </row>
    <row r="28" spans="1:8" ht="24" customHeight="1" x14ac:dyDescent="0.3">
      <c r="A28" s="18">
        <v>19</v>
      </c>
      <c r="B28" s="19" t="s">
        <v>284</v>
      </c>
      <c r="C28" s="18">
        <v>13</v>
      </c>
      <c r="D28" s="20" t="s">
        <v>11</v>
      </c>
      <c r="E28" s="21">
        <v>0</v>
      </c>
      <c r="F28" s="22"/>
      <c r="G28" s="23"/>
      <c r="H28" s="24"/>
    </row>
    <row r="29" spans="1:8" ht="24" customHeight="1" x14ac:dyDescent="0.3">
      <c r="A29" s="18">
        <v>20</v>
      </c>
      <c r="B29" s="19" t="s">
        <v>285</v>
      </c>
      <c r="C29" s="18">
        <v>19</v>
      </c>
      <c r="D29" s="20" t="s">
        <v>11</v>
      </c>
      <c r="E29" s="21">
        <v>0</v>
      </c>
      <c r="F29" s="22"/>
      <c r="G29" s="23"/>
      <c r="H29" s="24"/>
    </row>
    <row r="30" spans="1:8" ht="24" customHeight="1" x14ac:dyDescent="0.3">
      <c r="A30" s="18">
        <v>21</v>
      </c>
      <c r="B30" s="19" t="s">
        <v>286</v>
      </c>
      <c r="C30" s="18">
        <v>9</v>
      </c>
      <c r="D30" s="20" t="s">
        <v>11</v>
      </c>
      <c r="E30" s="21">
        <v>0</v>
      </c>
      <c r="F30" s="22"/>
      <c r="G30" s="23"/>
      <c r="H30" s="24"/>
    </row>
    <row r="31" spans="1:8" ht="24" customHeight="1" x14ac:dyDescent="0.3">
      <c r="A31" s="18">
        <v>22</v>
      </c>
      <c r="B31" s="19" t="s">
        <v>287</v>
      </c>
      <c r="C31" s="18">
        <v>7</v>
      </c>
      <c r="D31" s="20" t="s">
        <v>11</v>
      </c>
      <c r="E31" s="21">
        <v>0</v>
      </c>
      <c r="F31" s="22"/>
      <c r="G31" s="23"/>
      <c r="H31" s="24"/>
    </row>
    <row r="32" spans="1:8" ht="24" customHeight="1" x14ac:dyDescent="0.3">
      <c r="A32" s="18">
        <v>23</v>
      </c>
      <c r="B32" s="19" t="s">
        <v>288</v>
      </c>
      <c r="C32" s="18">
        <v>5</v>
      </c>
      <c r="D32" s="20" t="s">
        <v>11</v>
      </c>
      <c r="E32" s="21">
        <v>0</v>
      </c>
      <c r="F32" s="22"/>
      <c r="G32" s="23"/>
      <c r="H32" s="24"/>
    </row>
    <row r="33" spans="1:8" ht="24" customHeight="1" x14ac:dyDescent="0.3">
      <c r="A33" s="18">
        <v>24</v>
      </c>
      <c r="B33" s="19" t="s">
        <v>289</v>
      </c>
      <c r="C33" s="18">
        <v>11</v>
      </c>
      <c r="D33" s="20" t="s">
        <v>11</v>
      </c>
      <c r="E33" s="21">
        <v>0</v>
      </c>
      <c r="F33" s="22"/>
      <c r="G33" s="23"/>
      <c r="H33" s="24"/>
    </row>
    <row r="34" spans="1:8" ht="24" customHeight="1" x14ac:dyDescent="0.3">
      <c r="A34" s="18">
        <v>25</v>
      </c>
      <c r="B34" s="19" t="s">
        <v>290</v>
      </c>
      <c r="C34" s="18">
        <v>30</v>
      </c>
      <c r="D34" s="20" t="s">
        <v>11</v>
      </c>
      <c r="E34" s="21">
        <v>0</v>
      </c>
      <c r="F34" s="22"/>
      <c r="G34" s="23"/>
      <c r="H34" s="24"/>
    </row>
    <row r="35" spans="1:8" ht="24" customHeight="1" x14ac:dyDescent="0.3">
      <c r="A35" s="18">
        <v>26</v>
      </c>
      <c r="B35" s="19" t="s">
        <v>291</v>
      </c>
      <c r="C35" s="18">
        <v>8</v>
      </c>
      <c r="D35" s="20" t="s">
        <v>11</v>
      </c>
      <c r="E35" s="21">
        <v>0</v>
      </c>
      <c r="F35" s="22"/>
      <c r="G35" s="23"/>
      <c r="H35" s="24"/>
    </row>
    <row r="36" spans="1:8" ht="24" customHeight="1" x14ac:dyDescent="0.3">
      <c r="A36" s="18">
        <v>27</v>
      </c>
      <c r="B36" s="19" t="s">
        <v>292</v>
      </c>
      <c r="C36" s="18">
        <v>14</v>
      </c>
      <c r="D36" s="20" t="s">
        <v>11</v>
      </c>
      <c r="E36" s="21">
        <v>0</v>
      </c>
      <c r="F36" s="22"/>
      <c r="G36" s="23"/>
      <c r="H36" s="24"/>
    </row>
    <row r="37" spans="1:8" ht="24" customHeight="1" x14ac:dyDescent="0.3">
      <c r="A37" s="18">
        <v>28</v>
      </c>
      <c r="B37" s="19" t="s">
        <v>293</v>
      </c>
      <c r="C37" s="18">
        <v>28</v>
      </c>
      <c r="D37" s="20" t="s">
        <v>11</v>
      </c>
      <c r="E37" s="21">
        <v>0</v>
      </c>
      <c r="F37" s="22"/>
      <c r="G37" s="23"/>
      <c r="H37" s="24"/>
    </row>
    <row r="38" spans="1:8" ht="24" customHeight="1" x14ac:dyDescent="0.3">
      <c r="A38" s="18">
        <v>29</v>
      </c>
      <c r="B38" s="19" t="s">
        <v>294</v>
      </c>
      <c r="C38" s="18">
        <v>16</v>
      </c>
      <c r="D38" s="20" t="s">
        <v>11</v>
      </c>
      <c r="E38" s="21">
        <v>0</v>
      </c>
      <c r="F38" s="22"/>
      <c r="G38" s="23"/>
      <c r="H38" s="24"/>
    </row>
    <row r="39" spans="1:8" ht="24" customHeight="1" x14ac:dyDescent="0.3">
      <c r="A39" s="18">
        <v>30</v>
      </c>
      <c r="B39" s="19" t="s">
        <v>295</v>
      </c>
      <c r="C39" s="18">
        <v>17</v>
      </c>
      <c r="D39" s="20" t="s">
        <v>11</v>
      </c>
      <c r="E39" s="21">
        <v>0</v>
      </c>
      <c r="F39" s="22"/>
      <c r="G39" s="23"/>
      <c r="H39" s="24"/>
    </row>
    <row r="40" spans="1:8" ht="24" customHeight="1" x14ac:dyDescent="0.3">
      <c r="A40" s="18">
        <v>31</v>
      </c>
      <c r="B40" s="19" t="s">
        <v>296</v>
      </c>
      <c r="C40" s="18">
        <v>7</v>
      </c>
      <c r="D40" s="20" t="s">
        <v>11</v>
      </c>
      <c r="E40" s="21">
        <v>0</v>
      </c>
      <c r="F40" s="22"/>
      <c r="G40" s="23"/>
      <c r="H40" s="24"/>
    </row>
    <row r="41" spans="1:8" ht="24" customHeight="1" x14ac:dyDescent="0.3">
      <c r="A41" s="18">
        <v>32</v>
      </c>
      <c r="B41" s="19" t="s">
        <v>297</v>
      </c>
      <c r="C41" s="18">
        <v>6</v>
      </c>
      <c r="D41" s="20" t="s">
        <v>11</v>
      </c>
      <c r="E41" s="21">
        <v>0</v>
      </c>
      <c r="F41" s="22"/>
      <c r="G41" s="23"/>
      <c r="H41" s="24"/>
    </row>
    <row r="42" spans="1:8" ht="24" customHeight="1" x14ac:dyDescent="0.3">
      <c r="A42" s="18">
        <v>33</v>
      </c>
      <c r="B42" s="19" t="s">
        <v>298</v>
      </c>
      <c r="C42" s="18">
        <v>21</v>
      </c>
      <c r="D42" s="20" t="s">
        <v>11</v>
      </c>
      <c r="E42" s="21">
        <v>0</v>
      </c>
      <c r="F42" s="22"/>
      <c r="G42" s="23"/>
      <c r="H42" s="24"/>
    </row>
    <row r="43" spans="1:8" ht="24" customHeight="1" x14ac:dyDescent="0.3">
      <c r="A43" s="18">
        <v>34</v>
      </c>
      <c r="B43" s="19" t="s">
        <v>299</v>
      </c>
      <c r="C43" s="18">
        <v>18</v>
      </c>
      <c r="D43" s="20" t="s">
        <v>11</v>
      </c>
      <c r="E43" s="21">
        <v>0</v>
      </c>
      <c r="F43" s="22"/>
      <c r="G43" s="23"/>
      <c r="H43" s="24"/>
    </row>
    <row r="44" spans="1:8" ht="24" customHeight="1" x14ac:dyDescent="0.3">
      <c r="A44" s="18">
        <v>35</v>
      </c>
      <c r="B44" s="19" t="s">
        <v>300</v>
      </c>
      <c r="C44" s="18">
        <v>8</v>
      </c>
      <c r="D44" s="20" t="s">
        <v>11</v>
      </c>
      <c r="E44" s="21">
        <v>0</v>
      </c>
      <c r="F44" s="22"/>
      <c r="G44" s="23"/>
      <c r="H44" s="24"/>
    </row>
    <row r="45" spans="1:8" ht="24" customHeight="1" x14ac:dyDescent="0.3">
      <c r="A45" s="25">
        <v>36</v>
      </c>
      <c r="B45" s="26" t="s">
        <v>301</v>
      </c>
      <c r="C45" s="25">
        <v>3</v>
      </c>
      <c r="D45" s="27" t="s">
        <v>11</v>
      </c>
      <c r="E45" s="28">
        <v>0</v>
      </c>
      <c r="F45" s="29"/>
      <c r="G45" s="30"/>
      <c r="H45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45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45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45" xr:uid="{D14C34C0-BC63-4DBC-B0EE-7261D7058E2A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45" xr:uid="{74561825-08E7-40CB-BF22-75E48EFCF6C8}">
      <formula1>0</formula1>
      <formula2>1</formula2>
    </dataValidation>
    <dataValidation type="decimal" allowBlank="1" showInputMessage="1" showErrorMessage="1" errorTitle="Giá trị không hợp lệ" error="Nhập điểm từ 0 đến 10." sqref="F10:F45" xr:uid="{59F6141E-7DE8-4E04-996D-68475AB682F0}">
      <formula1>0</formula1>
      <formula2>10</formula2>
    </dataValidation>
  </dataValidations>
  <hyperlinks>
    <hyperlink ref="B3" r:id="rId1" display="02 - Lập trình &amp; Phát triển phần mềm/01 - Web &amp; Backend/nodejs-the-complete-guide" xr:uid="{F539F033-B96F-4B33-B20D-3E550D1388AD}"/>
  </hyperlinks>
  <pageMargins left="0.7" right="0.7" top="0.75" bottom="0.75" header="0.3" footer="0.3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C6B7E-3250-415D-8B5A-1F0C823DFDC1}">
  <sheetPr>
    <tabColor rgb="FF0D9488"/>
  </sheetPr>
  <dimension ref="A1:H10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260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261</v>
      </c>
      <c r="C2" s="16" t="s">
        <v>25</v>
      </c>
      <c r="D2" s="15" t="s">
        <v>251</v>
      </c>
      <c r="E2" s="16" t="s">
        <v>26</v>
      </c>
      <c r="F2" s="15" t="s">
        <v>252</v>
      </c>
      <c r="G2" s="15"/>
      <c r="H2" s="15"/>
    </row>
    <row r="3" spans="1:8" ht="30" customHeight="1" x14ac:dyDescent="0.3">
      <c r="A3" s="16" t="s">
        <v>27</v>
      </c>
      <c r="B3" s="56" t="s">
        <v>262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COUNTA(B10:B10)</f>
        <v>1</v>
      </c>
      <c r="B6" s="59"/>
      <c r="C6" s="60">
        <f t="shared" ref="C6" si="1">COUNTIF(D10:D10,"Đã hoàn thành")</f>
        <v>0</v>
      </c>
      <c r="D6" s="60"/>
      <c r="E6" s="61">
        <f t="shared" ref="E6" si="2">IFERROR(AVERAGE(E10:E10),0)</f>
        <v>0</v>
      </c>
      <c r="F6" s="61"/>
      <c r="G6" s="62" t="str">
        <f t="shared" ref="G6" si="3">IFERROR(AVERAGE(F10:F10),"")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25">
        <v>1</v>
      </c>
      <c r="B10" s="26" t="s">
        <v>263</v>
      </c>
      <c r="C10" s="25">
        <v>48</v>
      </c>
      <c r="D10" s="27" t="s">
        <v>11</v>
      </c>
      <c r="E10" s="28">
        <v>0</v>
      </c>
      <c r="F10" s="29"/>
      <c r="G10" s="30"/>
      <c r="H10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" xr:uid="{BCD65BFF-8023-4064-99D1-8CB00291C655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" xr:uid="{AA0CF100-78E6-4997-831F-5827C1DF0A1A}">
      <formula1>0</formula1>
      <formula2>1</formula2>
    </dataValidation>
    <dataValidation type="decimal" allowBlank="1" showInputMessage="1" showErrorMessage="1" errorTitle="Giá trị không hợp lệ" error="Nhập điểm từ 0 đến 10." sqref="F10" xr:uid="{136BC3A2-00D7-4C99-9436-ECACA8CAE806}">
      <formula1>0</formula1>
      <formula2>10</formula2>
    </dataValidation>
  </dataValidations>
  <hyperlinks>
    <hyperlink ref="B3" r:id="rId1" display="02 - Lập trình &amp; Phát triển phần mềm/01 - Web &amp; Backend/full-stack-developer-roadmap" xr:uid="{46D76222-3DD2-4B5B-8F10-0FF3E5F8FF12}"/>
  </hyperlinks>
  <pageMargins left="0.7" right="0.7" top="0.75" bottom="0.75" header="0.3" footer="0.3"/>
  <tableParts count="1">
    <tablePart r:id="rId2"/>
  </tablePart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CAC2E-15B3-4C33-8133-5FF5F8C124A0}">
  <sheetPr>
    <tabColor rgb="FF0D9488"/>
  </sheetPr>
  <dimension ref="A1:H10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256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257</v>
      </c>
      <c r="C2" s="16" t="s">
        <v>25</v>
      </c>
      <c r="D2" s="15" t="s">
        <v>251</v>
      </c>
      <c r="E2" s="16" t="s">
        <v>26</v>
      </c>
      <c r="F2" s="15" t="s">
        <v>252</v>
      </c>
      <c r="G2" s="15"/>
      <c r="H2" s="15"/>
    </row>
    <row r="3" spans="1:8" ht="30" customHeight="1" x14ac:dyDescent="0.3">
      <c r="A3" s="16" t="s">
        <v>27</v>
      </c>
      <c r="B3" s="56" t="s">
        <v>258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COUNTA(B10:B10)</f>
        <v>1</v>
      </c>
      <c r="B6" s="59"/>
      <c r="C6" s="60">
        <f t="shared" ref="C6" si="1">COUNTIF(D10:D10,"Đã hoàn thành")</f>
        <v>0</v>
      </c>
      <c r="D6" s="60"/>
      <c r="E6" s="61">
        <f t="shared" ref="E6" si="2">IFERROR(AVERAGE(E10:E10),0)</f>
        <v>0</v>
      </c>
      <c r="F6" s="61"/>
      <c r="G6" s="62" t="str">
        <f t="shared" ref="G6" si="3">IFERROR(AVERAGE(F10:F10),"")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25">
        <v>1</v>
      </c>
      <c r="B10" s="26" t="s">
        <v>259</v>
      </c>
      <c r="C10" s="25">
        <v>166</v>
      </c>
      <c r="D10" s="27" t="s">
        <v>11</v>
      </c>
      <c r="E10" s="28">
        <v>0</v>
      </c>
      <c r="F10" s="29"/>
      <c r="G10" s="30"/>
      <c r="H10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" xr:uid="{6767B84F-A4C8-4A95-BF4C-D96D54B4EDD6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" xr:uid="{7507A049-E0CC-4B9E-9059-936F759207A0}">
      <formula1>0</formula1>
      <formula2>1</formula2>
    </dataValidation>
    <dataValidation type="decimal" allowBlank="1" showInputMessage="1" showErrorMessage="1" errorTitle="Giá trị không hợp lệ" error="Nhập điểm từ 0 đến 10." sqref="F10" xr:uid="{9AB52281-0585-4836-B750-C198C99223F2}">
      <formula1>0</formula1>
      <formula2>10</formula2>
    </dataValidation>
  </dataValidations>
  <hyperlinks>
    <hyperlink ref="B3" r:id="rId1" display="02 - Lập trình &amp; Phát triển phần mềm/01 - Web &amp; Backend/frontend-developer-roadmap" xr:uid="{79E49520-5B91-41A7-8AA7-70987D786B14}"/>
  </hyperlinks>
  <pageMargins left="0.7" right="0.7" top="0.75" bottom="0.75" header="0.3" footer="0.3"/>
  <tableParts count="1">
    <tablePart r:id="rId2"/>
  </tablePart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445F-FCA5-4770-AA70-3ECE04CBAC65}">
  <sheetPr>
    <tabColor rgb="FF0D9488"/>
  </sheetPr>
  <dimension ref="A1:H11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249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250</v>
      </c>
      <c r="C2" s="16" t="s">
        <v>25</v>
      </c>
      <c r="D2" s="15" t="s">
        <v>251</v>
      </c>
      <c r="E2" s="16" t="s">
        <v>26</v>
      </c>
      <c r="F2" s="15" t="s">
        <v>252</v>
      </c>
      <c r="G2" s="15"/>
      <c r="H2" s="15"/>
    </row>
    <row r="3" spans="1:8" ht="30" customHeight="1" x14ac:dyDescent="0.3">
      <c r="A3" s="16" t="s">
        <v>27</v>
      </c>
      <c r="B3" s="56" t="s">
        <v>253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COUNTA(B10:B11)</f>
        <v>2</v>
      </c>
      <c r="B6" s="59"/>
      <c r="C6" s="60">
        <f t="shared" ref="C6" si="1">COUNTIF(D10:D11,"Đã hoàn thành")</f>
        <v>0</v>
      </c>
      <c r="D6" s="60"/>
      <c r="E6" s="61">
        <f t="shared" ref="E6" si="2">IFERROR(AVERAGE(E10:E11),0)</f>
        <v>0</v>
      </c>
      <c r="F6" s="61"/>
      <c r="G6" s="62" t="str">
        <f t="shared" ref="G6" si="3">IFERROR(AVERAGE(F10:F11),"")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254</v>
      </c>
      <c r="C10" s="18">
        <v>159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25">
        <v>2</v>
      </c>
      <c r="B11" s="26" t="s">
        <v>255</v>
      </c>
      <c r="C11" s="25">
        <v>142</v>
      </c>
      <c r="D11" s="27" t="s">
        <v>11</v>
      </c>
      <c r="E11" s="28">
        <v>0</v>
      </c>
      <c r="F11" s="29"/>
      <c r="G11" s="30"/>
      <c r="H11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11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11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11" xr:uid="{A8A68D8F-A8AC-4E3E-AC89-3E10342DB5D3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11" xr:uid="{9A7A3537-369B-40E3-BB41-D65712FCE53B}">
      <formula1>0</formula1>
      <formula2>1</formula2>
    </dataValidation>
    <dataValidation type="decimal" allowBlank="1" showInputMessage="1" showErrorMessage="1" errorTitle="Giá trị không hợp lệ" error="Nhập điểm từ 0 đến 10." sqref="F10:F11" xr:uid="{4E79BCFD-1706-4D32-8516-66B129A22D3F}">
      <formula1>0</formula1>
      <formula2>10</formula2>
    </dataValidation>
  </dataValidations>
  <hyperlinks>
    <hyperlink ref="B3" r:id="rId1" display="02 - Lập trình &amp; Phát triển phần mềm/01 - Web &amp; Backend/backend-developer-roadmap" xr:uid="{26545A76-18EE-4148-9C02-9F5615397929}"/>
  </hyperlinks>
  <pageMargins left="0.7" right="0.7" top="0.75" bottom="0.75" header="0.3" footer="0.3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9E4AD-4405-45CC-B005-A36DCF38D757}">
  <sheetPr>
    <tabColor rgb="FF0D9488"/>
  </sheetPr>
  <dimension ref="A1:H15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240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241</v>
      </c>
      <c r="C2" s="16" t="s">
        <v>25</v>
      </c>
      <c r="D2" s="15" t="s">
        <v>43</v>
      </c>
      <c r="E2" s="16" t="s">
        <v>26</v>
      </c>
      <c r="F2" s="15" t="s">
        <v>169</v>
      </c>
      <c r="G2" s="15"/>
      <c r="H2" s="15"/>
    </row>
    <row r="3" spans="1:8" ht="30" customHeight="1" x14ac:dyDescent="0.3">
      <c r="A3" s="16" t="s">
        <v>27</v>
      </c>
      <c r="B3" s="56" t="s">
        <v>242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COUNTA(B10:B15)</f>
        <v>6</v>
      </c>
      <c r="B6" s="59"/>
      <c r="C6" s="60">
        <f t="shared" ref="C6" si="1">COUNTIF(D10:D15,"Đã hoàn thành")</f>
        <v>0</v>
      </c>
      <c r="D6" s="60"/>
      <c r="E6" s="61">
        <f t="shared" ref="E6" si="2">IFERROR(AVERAGE(E10:E15),0)</f>
        <v>0</v>
      </c>
      <c r="F6" s="61"/>
      <c r="G6" s="62" t="str">
        <f t="shared" ref="G6" si="3">IFERROR(AVERAGE(F10:F15),"")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243</v>
      </c>
      <c r="C10" s="18">
        <v>2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244</v>
      </c>
      <c r="C11" s="18">
        <v>2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245</v>
      </c>
      <c r="C12" s="18">
        <v>4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246</v>
      </c>
      <c r="C13" s="18">
        <v>5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247</v>
      </c>
      <c r="C14" s="18">
        <v>4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25">
        <v>6</v>
      </c>
      <c r="B15" s="26" t="s">
        <v>248</v>
      </c>
      <c r="C15" s="25">
        <v>2</v>
      </c>
      <c r="D15" s="27" t="s">
        <v>11</v>
      </c>
      <c r="E15" s="28">
        <v>0</v>
      </c>
      <c r="F15" s="29"/>
      <c r="G15" s="30"/>
      <c r="H15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15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15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15" xr:uid="{B8B19FCD-1D78-4487-93D0-B292204A0642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15" xr:uid="{87AB27F9-DEB9-4DFD-8F0C-043ADB27E6BC}">
      <formula1>0</formula1>
      <formula2>1</formula2>
    </dataValidation>
    <dataValidation type="decimal" allowBlank="1" showInputMessage="1" showErrorMessage="1" errorTitle="Giá trị không hợp lệ" error="Nhập điểm từ 0 đến 10." sqref="F10:F15" xr:uid="{C38B70E8-ADBE-4755-9880-E78F01697DD9}">
      <formula1>0</formula1>
      <formula2>10</formula2>
    </dataValidation>
  </dataValidations>
  <hyperlinks>
    <hyperlink ref="B3" r:id="rId1" display="01 - AI &amp; Dữ liệu/03 - AI hỗ trợ phát triển phần mềm/khoa-hoc-vibe-coding-co-ban" xr:uid="{E860743E-17AE-4079-B7E0-35B35D7EF45B}"/>
  </hyperlinks>
  <pageMargins left="0.7" right="0.7" top="0.75" bottom="0.75" header="0.3" footer="0.3"/>
  <tableParts count="1">
    <tablePart r:id="rId2"/>
  </tablePart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BF22E-99C8-40FE-8135-FD890EF46BCE}">
  <sheetPr>
    <tabColor rgb="FF0D9488"/>
  </sheetPr>
  <dimension ref="A1:H21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225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226</v>
      </c>
      <c r="C2" s="16" t="s">
        <v>25</v>
      </c>
      <c r="D2" s="15" t="s">
        <v>43</v>
      </c>
      <c r="E2" s="16" t="s">
        <v>26</v>
      </c>
      <c r="F2" s="15" t="s">
        <v>169</v>
      </c>
      <c r="G2" s="15"/>
      <c r="H2" s="15"/>
    </row>
    <row r="3" spans="1:8" ht="30" customHeight="1" x14ac:dyDescent="0.3">
      <c r="A3" s="16" t="s">
        <v>27</v>
      </c>
      <c r="B3" s="56" t="s">
        <v>227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COUNTA(B10:B21)</f>
        <v>12</v>
      </c>
      <c r="B6" s="59"/>
      <c r="C6" s="60">
        <f t="shared" ref="C6" si="1">COUNTIF(D10:D21,"Đã hoàn thành")</f>
        <v>0</v>
      </c>
      <c r="D6" s="60"/>
      <c r="E6" s="61">
        <f t="shared" ref="E6" si="2">IFERROR(AVERAGE(E10:E21),0)</f>
        <v>0</v>
      </c>
      <c r="F6" s="61"/>
      <c r="G6" s="62" t="str">
        <f t="shared" ref="G6" si="3">IFERROR(AVERAGE(F10:F21),"")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228</v>
      </c>
      <c r="C10" s="18">
        <v>1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229</v>
      </c>
      <c r="C11" s="18">
        <v>1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230</v>
      </c>
      <c r="C12" s="18">
        <v>2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231</v>
      </c>
      <c r="C13" s="18">
        <v>1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232</v>
      </c>
      <c r="C14" s="18">
        <v>1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18">
        <v>6</v>
      </c>
      <c r="B15" s="19" t="s">
        <v>233</v>
      </c>
      <c r="C15" s="18">
        <v>1</v>
      </c>
      <c r="D15" s="20" t="s">
        <v>11</v>
      </c>
      <c r="E15" s="21">
        <v>0</v>
      </c>
      <c r="F15" s="22"/>
      <c r="G15" s="23"/>
      <c r="H15" s="24"/>
    </row>
    <row r="16" spans="1:8" ht="24" customHeight="1" x14ac:dyDescent="0.3">
      <c r="A16" s="18">
        <v>7</v>
      </c>
      <c r="B16" s="19" t="s">
        <v>234</v>
      </c>
      <c r="C16" s="18">
        <v>1</v>
      </c>
      <c r="D16" s="20" t="s">
        <v>11</v>
      </c>
      <c r="E16" s="21">
        <v>0</v>
      </c>
      <c r="F16" s="22"/>
      <c r="G16" s="23"/>
      <c r="H16" s="24"/>
    </row>
    <row r="17" spans="1:8" ht="24" customHeight="1" x14ac:dyDescent="0.3">
      <c r="A17" s="18">
        <v>8</v>
      </c>
      <c r="B17" s="19" t="s">
        <v>235</v>
      </c>
      <c r="C17" s="18">
        <v>1</v>
      </c>
      <c r="D17" s="20" t="s">
        <v>11</v>
      </c>
      <c r="E17" s="21">
        <v>0</v>
      </c>
      <c r="F17" s="22"/>
      <c r="G17" s="23"/>
      <c r="H17" s="24"/>
    </row>
    <row r="18" spans="1:8" ht="24" customHeight="1" x14ac:dyDescent="0.3">
      <c r="A18" s="18">
        <v>9</v>
      </c>
      <c r="B18" s="19" t="s">
        <v>236</v>
      </c>
      <c r="C18" s="18">
        <v>1</v>
      </c>
      <c r="D18" s="20" t="s">
        <v>11</v>
      </c>
      <c r="E18" s="21">
        <v>0</v>
      </c>
      <c r="F18" s="22"/>
      <c r="G18" s="23"/>
      <c r="H18" s="24"/>
    </row>
    <row r="19" spans="1:8" ht="24" customHeight="1" x14ac:dyDescent="0.3">
      <c r="A19" s="18">
        <v>10</v>
      </c>
      <c r="B19" s="19" t="s">
        <v>237</v>
      </c>
      <c r="C19" s="18">
        <v>1</v>
      </c>
      <c r="D19" s="20" t="s">
        <v>11</v>
      </c>
      <c r="E19" s="21">
        <v>0</v>
      </c>
      <c r="F19" s="22"/>
      <c r="G19" s="23"/>
      <c r="H19" s="24"/>
    </row>
    <row r="20" spans="1:8" ht="24" customHeight="1" x14ac:dyDescent="0.3">
      <c r="A20" s="18">
        <v>11</v>
      </c>
      <c r="B20" s="19" t="s">
        <v>238</v>
      </c>
      <c r="C20" s="18">
        <v>1</v>
      </c>
      <c r="D20" s="20" t="s">
        <v>11</v>
      </c>
      <c r="E20" s="21">
        <v>0</v>
      </c>
      <c r="F20" s="22"/>
      <c r="G20" s="23"/>
      <c r="H20" s="24"/>
    </row>
    <row r="21" spans="1:8" ht="24" customHeight="1" x14ac:dyDescent="0.3">
      <c r="A21" s="25">
        <v>12</v>
      </c>
      <c r="B21" s="26" t="s">
        <v>239</v>
      </c>
      <c r="C21" s="25">
        <v>1</v>
      </c>
      <c r="D21" s="27" t="s">
        <v>11</v>
      </c>
      <c r="E21" s="28">
        <v>0</v>
      </c>
      <c r="F21" s="29"/>
      <c r="G21" s="30"/>
      <c r="H21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21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21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21" xr:uid="{77A1AAB5-0738-4285-919F-29538A55013F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21" xr:uid="{DE258D68-A457-4AB4-8DB4-C2A8E99260F1}">
      <formula1>0</formula1>
      <formula2>1</formula2>
    </dataValidation>
    <dataValidation type="decimal" allowBlank="1" showInputMessage="1" showErrorMessage="1" errorTitle="Giá trị không hợp lệ" error="Nhập điểm từ 0 đến 10." sqref="F10:F21" xr:uid="{29486476-B6E8-4B66-A029-6C7EAEA606D2}">
      <formula1>0</formula1>
      <formula2>10</formula2>
    </dataValidation>
  </dataValidations>
  <hyperlinks>
    <hyperlink ref="B3" r:id="rId1" display="01 - AI &amp; Dữ liệu/03 - AI hỗ trợ phát triển phần mềm/khoa-hoc-vibe-coding" xr:uid="{1DAD4FB5-6226-43E1-9668-75160E13862B}"/>
  </hyperlinks>
  <pageMargins left="0.7" right="0.7" top="0.75" bottom="0.75" header="0.3" footer="0.3"/>
  <tableParts count="1">
    <tablePart r:id="rId2"/>
  </tablePart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6580C-C966-4D84-A487-28EDC6AA3330}">
  <sheetPr>
    <tabColor rgb="FF0D9488"/>
  </sheetPr>
  <dimension ref="A1:H12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219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220</v>
      </c>
      <c r="C2" s="16" t="s">
        <v>25</v>
      </c>
      <c r="D2" s="15" t="s">
        <v>43</v>
      </c>
      <c r="E2" s="16" t="s">
        <v>26</v>
      </c>
      <c r="F2" s="15" t="s">
        <v>169</v>
      </c>
      <c r="G2" s="15"/>
      <c r="H2" s="15"/>
    </row>
    <row r="3" spans="1:8" ht="30" customHeight="1" x14ac:dyDescent="0.3">
      <c r="A3" s="16" t="s">
        <v>27</v>
      </c>
      <c r="B3" s="56" t="s">
        <v>221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COUNTA(B10:B12)</f>
        <v>3</v>
      </c>
      <c r="B6" s="59"/>
      <c r="C6" s="60">
        <f t="shared" ref="C6" si="1">COUNTIF(D10:D12,"Đã hoàn thành")</f>
        <v>0</v>
      </c>
      <c r="D6" s="60"/>
      <c r="E6" s="61">
        <f t="shared" ref="E6" si="2">IFERROR(AVERAGE(E10:E12),0)</f>
        <v>0</v>
      </c>
      <c r="F6" s="61"/>
      <c r="G6" s="62" t="str">
        <f t="shared" ref="G6" si="3">IFERROR(AVERAGE(F10:F12),"")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222</v>
      </c>
      <c r="C10" s="18">
        <v>18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223</v>
      </c>
      <c r="C11" s="18">
        <v>27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25">
        <v>3</v>
      </c>
      <c r="B12" s="26" t="s">
        <v>224</v>
      </c>
      <c r="C12" s="25">
        <v>9</v>
      </c>
      <c r="D12" s="27" t="s">
        <v>11</v>
      </c>
      <c r="E12" s="28">
        <v>0</v>
      </c>
      <c r="F12" s="29"/>
      <c r="G12" s="30"/>
      <c r="H12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12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12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12" xr:uid="{5524204C-8D8E-4612-9966-FE10073E73EF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12" xr:uid="{8C38EC3C-A6FD-4B82-B9C6-6B16B11CEA63}">
      <formula1>0</formula1>
      <formula2>1</formula2>
    </dataValidation>
    <dataValidation type="decimal" allowBlank="1" showInputMessage="1" showErrorMessage="1" errorTitle="Giá trị không hợp lệ" error="Nhập điểm từ 0 đến 10." sqref="F10:F12" xr:uid="{6C3A239E-7493-472B-BFD5-563C16071D27}">
      <formula1>0</formula1>
      <formula2>10</formula2>
    </dataValidation>
  </dataValidations>
  <hyperlinks>
    <hyperlink ref="B3" r:id="rId1" display="01 - AI &amp; Dữ liệu/03 - AI hỗ trợ phát triển phần mềm/claude-code-the-practical-guide" xr:uid="{26E1BC57-311E-493C-A667-0C92EA9C67A6}"/>
  </hyperlinks>
  <pageMargins left="0.7" right="0.7" top="0.75" bottom="0.75" header="0.3" footer="0.3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DB668-2030-4EC1-930F-6592FA921D5D}">
  <sheetPr>
    <tabColor rgb="FF0D9488"/>
  </sheetPr>
  <dimension ref="A1:H22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203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204</v>
      </c>
      <c r="C2" s="16" t="s">
        <v>25</v>
      </c>
      <c r="D2" s="15" t="s">
        <v>43</v>
      </c>
      <c r="E2" s="16" t="s">
        <v>26</v>
      </c>
      <c r="F2" s="15" t="s">
        <v>169</v>
      </c>
      <c r="G2" s="15"/>
      <c r="H2" s="15"/>
    </row>
    <row r="3" spans="1:8" ht="30" customHeight="1" x14ac:dyDescent="0.3">
      <c r="A3" s="16" t="s">
        <v>27</v>
      </c>
      <c r="B3" s="56" t="s">
        <v>205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COUNTA(B10:B22)</f>
        <v>13</v>
      </c>
      <c r="B6" s="59"/>
      <c r="C6" s="60">
        <f t="shared" ref="C6" si="1">COUNTIF(D10:D22,"Đã hoàn thành")</f>
        <v>0</v>
      </c>
      <c r="D6" s="60"/>
      <c r="E6" s="61">
        <f t="shared" ref="E6" si="2">IFERROR(AVERAGE(E10:E22),0)</f>
        <v>0</v>
      </c>
      <c r="F6" s="61"/>
      <c r="G6" s="62" t="str">
        <f t="shared" ref="G6" si="3">IFERROR(AVERAGE(F10:F22),"")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206</v>
      </c>
      <c r="C10" s="18">
        <v>14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207</v>
      </c>
      <c r="C11" s="18">
        <v>8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208</v>
      </c>
      <c r="C12" s="18">
        <v>6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209</v>
      </c>
      <c r="C13" s="18">
        <v>12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210</v>
      </c>
      <c r="C14" s="18">
        <v>9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18">
        <v>6</v>
      </c>
      <c r="B15" s="19" t="s">
        <v>211</v>
      </c>
      <c r="C15" s="18">
        <v>7</v>
      </c>
      <c r="D15" s="20" t="s">
        <v>11</v>
      </c>
      <c r="E15" s="21">
        <v>0</v>
      </c>
      <c r="F15" s="22"/>
      <c r="G15" s="23"/>
      <c r="H15" s="24"/>
    </row>
    <row r="16" spans="1:8" ht="24" customHeight="1" x14ac:dyDescent="0.3">
      <c r="A16" s="18">
        <v>7</v>
      </c>
      <c r="B16" s="19" t="s">
        <v>212</v>
      </c>
      <c r="C16" s="18">
        <v>10</v>
      </c>
      <c r="D16" s="20" t="s">
        <v>11</v>
      </c>
      <c r="E16" s="21">
        <v>0</v>
      </c>
      <c r="F16" s="22"/>
      <c r="G16" s="23"/>
      <c r="H16" s="24"/>
    </row>
    <row r="17" spans="1:8" ht="24" customHeight="1" x14ac:dyDescent="0.3">
      <c r="A17" s="18">
        <v>8</v>
      </c>
      <c r="B17" s="19" t="s">
        <v>213</v>
      </c>
      <c r="C17" s="18">
        <v>11</v>
      </c>
      <c r="D17" s="20" t="s">
        <v>11</v>
      </c>
      <c r="E17" s="21">
        <v>0</v>
      </c>
      <c r="F17" s="22"/>
      <c r="G17" s="23"/>
      <c r="H17" s="24"/>
    </row>
    <row r="18" spans="1:8" ht="24" customHeight="1" x14ac:dyDescent="0.3">
      <c r="A18" s="18">
        <v>9</v>
      </c>
      <c r="B18" s="19" t="s">
        <v>214</v>
      </c>
      <c r="C18" s="18">
        <v>14</v>
      </c>
      <c r="D18" s="20" t="s">
        <v>11</v>
      </c>
      <c r="E18" s="21">
        <v>0</v>
      </c>
      <c r="F18" s="22"/>
      <c r="G18" s="23"/>
      <c r="H18" s="24"/>
    </row>
    <row r="19" spans="1:8" ht="24" customHeight="1" x14ac:dyDescent="0.3">
      <c r="A19" s="18">
        <v>10</v>
      </c>
      <c r="B19" s="19" t="s">
        <v>215</v>
      </c>
      <c r="C19" s="18">
        <v>7</v>
      </c>
      <c r="D19" s="20" t="s">
        <v>11</v>
      </c>
      <c r="E19" s="21">
        <v>0</v>
      </c>
      <c r="F19" s="22"/>
      <c r="G19" s="23"/>
      <c r="H19" s="24"/>
    </row>
    <row r="20" spans="1:8" ht="24" customHeight="1" x14ac:dyDescent="0.3">
      <c r="A20" s="18">
        <v>11</v>
      </c>
      <c r="B20" s="19" t="s">
        <v>216</v>
      </c>
      <c r="C20" s="18">
        <v>20</v>
      </c>
      <c r="D20" s="20" t="s">
        <v>11</v>
      </c>
      <c r="E20" s="21">
        <v>0</v>
      </c>
      <c r="F20" s="22"/>
      <c r="G20" s="23"/>
      <c r="H20" s="24"/>
    </row>
    <row r="21" spans="1:8" ht="24" customHeight="1" x14ac:dyDescent="0.3">
      <c r="A21" s="18">
        <v>12</v>
      </c>
      <c r="B21" s="19" t="s">
        <v>217</v>
      </c>
      <c r="C21" s="18">
        <v>17</v>
      </c>
      <c r="D21" s="20" t="s">
        <v>11</v>
      </c>
      <c r="E21" s="21">
        <v>0</v>
      </c>
      <c r="F21" s="22"/>
      <c r="G21" s="23"/>
      <c r="H21" s="24"/>
    </row>
    <row r="22" spans="1:8" ht="24" customHeight="1" x14ac:dyDescent="0.3">
      <c r="A22" s="25">
        <v>13</v>
      </c>
      <c r="B22" s="26" t="s">
        <v>218</v>
      </c>
      <c r="C22" s="25">
        <v>23</v>
      </c>
      <c r="D22" s="27" t="s">
        <v>11</v>
      </c>
      <c r="E22" s="28">
        <v>0</v>
      </c>
      <c r="F22" s="29"/>
      <c r="G22" s="30"/>
      <c r="H22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22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22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22" xr:uid="{4D37B8E1-E70D-4704-9FFC-B855267FE9F4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22" xr:uid="{B4BD9689-EC3F-4A39-A7BA-790891769655}">
      <formula1>0</formula1>
      <formula2>1</formula2>
    </dataValidation>
    <dataValidation type="decimal" allowBlank="1" showInputMessage="1" showErrorMessage="1" errorTitle="Giá trị không hợp lệ" error="Nhập điểm từ 0 đến 10." sqref="F10:F22" xr:uid="{F186CADE-4453-419A-B30F-89091AED7399}">
      <formula1>0</formula1>
      <formula2>10</formula2>
    </dataValidation>
  </dataValidations>
  <hyperlinks>
    <hyperlink ref="B3" r:id="rId1" display="01 - AI &amp; Dữ liệu/03 - AI hỗ trợ phát triển phần mềm/claude-code-cowork-masterclass-2026" xr:uid="{C42B8829-66E9-4DC7-9B10-70AC27A88A23}"/>
  </hyperlinks>
  <pageMargins left="0.7" right="0.7" top="0.75" bottom="0.75" header="0.3" footer="0.3"/>
  <tableParts count="1">
    <tablePart r:id="rId2"/>
  </tablePart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B2D9F-A2E0-48B8-ABEF-2AE0E7BB96DF}">
  <sheetPr>
    <tabColor rgb="FF0D9488"/>
  </sheetPr>
  <dimension ref="A1:H22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187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188</v>
      </c>
      <c r="C2" s="16" t="s">
        <v>25</v>
      </c>
      <c r="D2" s="15" t="s">
        <v>43</v>
      </c>
      <c r="E2" s="16" t="s">
        <v>26</v>
      </c>
      <c r="F2" s="15" t="s">
        <v>169</v>
      </c>
      <c r="G2" s="15"/>
      <c r="H2" s="15"/>
    </row>
    <row r="3" spans="1:8" ht="30" customHeight="1" x14ac:dyDescent="0.3">
      <c r="A3" s="16" t="s">
        <v>27</v>
      </c>
      <c r="B3" s="56" t="s">
        <v>189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COUNTA(B10:B22)</f>
        <v>13</v>
      </c>
      <c r="B6" s="59"/>
      <c r="C6" s="60">
        <f t="shared" ref="C6" si="1">COUNTIF(D10:D22,"Đã hoàn thành")</f>
        <v>0</v>
      </c>
      <c r="D6" s="60"/>
      <c r="E6" s="61">
        <f t="shared" ref="E6" si="2">IFERROR(AVERAGE(E10:E22),0)</f>
        <v>0</v>
      </c>
      <c r="F6" s="61"/>
      <c r="G6" s="62" t="str">
        <f t="shared" ref="G6" si="3">IFERROR(AVERAGE(F10:F22),"")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190</v>
      </c>
      <c r="C10" s="18">
        <v>4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191</v>
      </c>
      <c r="C11" s="18">
        <v>23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192</v>
      </c>
      <c r="C12" s="18">
        <v>13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193</v>
      </c>
      <c r="C13" s="18">
        <v>16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194</v>
      </c>
      <c r="C14" s="18">
        <v>10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18">
        <v>6</v>
      </c>
      <c r="B15" s="19" t="s">
        <v>195</v>
      </c>
      <c r="C15" s="18">
        <v>23</v>
      </c>
      <c r="D15" s="20" t="s">
        <v>11</v>
      </c>
      <c r="E15" s="21">
        <v>0</v>
      </c>
      <c r="F15" s="22"/>
      <c r="G15" s="23"/>
      <c r="H15" s="24"/>
    </row>
    <row r="16" spans="1:8" ht="24" customHeight="1" x14ac:dyDescent="0.3">
      <c r="A16" s="18">
        <v>7</v>
      </c>
      <c r="B16" s="19" t="s">
        <v>196</v>
      </c>
      <c r="C16" s="18">
        <v>9</v>
      </c>
      <c r="D16" s="20" t="s">
        <v>11</v>
      </c>
      <c r="E16" s="21">
        <v>0</v>
      </c>
      <c r="F16" s="22"/>
      <c r="G16" s="23"/>
      <c r="H16" s="24"/>
    </row>
    <row r="17" spans="1:8" ht="24" customHeight="1" x14ac:dyDescent="0.3">
      <c r="A17" s="18">
        <v>8</v>
      </c>
      <c r="B17" s="19" t="s">
        <v>197</v>
      </c>
      <c r="C17" s="18">
        <v>20</v>
      </c>
      <c r="D17" s="20" t="s">
        <v>11</v>
      </c>
      <c r="E17" s="21">
        <v>0</v>
      </c>
      <c r="F17" s="22"/>
      <c r="G17" s="23"/>
      <c r="H17" s="24"/>
    </row>
    <row r="18" spans="1:8" ht="24" customHeight="1" x14ac:dyDescent="0.3">
      <c r="A18" s="18">
        <v>9</v>
      </c>
      <c r="B18" s="19" t="s">
        <v>198</v>
      </c>
      <c r="C18" s="18">
        <v>1</v>
      </c>
      <c r="D18" s="20" t="s">
        <v>11</v>
      </c>
      <c r="E18" s="21">
        <v>0</v>
      </c>
      <c r="F18" s="22"/>
      <c r="G18" s="23"/>
      <c r="H18" s="24"/>
    </row>
    <row r="19" spans="1:8" ht="24" customHeight="1" x14ac:dyDescent="0.3">
      <c r="A19" s="18">
        <v>10</v>
      </c>
      <c r="B19" s="19" t="s">
        <v>199</v>
      </c>
      <c r="C19" s="18">
        <v>11</v>
      </c>
      <c r="D19" s="20" t="s">
        <v>11</v>
      </c>
      <c r="E19" s="21">
        <v>0</v>
      </c>
      <c r="F19" s="22"/>
      <c r="G19" s="23"/>
      <c r="H19" s="24"/>
    </row>
    <row r="20" spans="1:8" ht="24" customHeight="1" x14ac:dyDescent="0.3">
      <c r="A20" s="18">
        <v>11</v>
      </c>
      <c r="B20" s="19" t="s">
        <v>200</v>
      </c>
      <c r="C20" s="18">
        <v>5</v>
      </c>
      <c r="D20" s="20" t="s">
        <v>11</v>
      </c>
      <c r="E20" s="21">
        <v>0</v>
      </c>
      <c r="F20" s="22"/>
      <c r="G20" s="23"/>
      <c r="H20" s="24"/>
    </row>
    <row r="21" spans="1:8" ht="24" customHeight="1" x14ac:dyDescent="0.3">
      <c r="A21" s="18">
        <v>12</v>
      </c>
      <c r="B21" s="19" t="s">
        <v>201</v>
      </c>
      <c r="C21" s="18">
        <v>8</v>
      </c>
      <c r="D21" s="20" t="s">
        <v>11</v>
      </c>
      <c r="E21" s="21">
        <v>0</v>
      </c>
      <c r="F21" s="22"/>
      <c r="G21" s="23"/>
      <c r="H21" s="24"/>
    </row>
    <row r="22" spans="1:8" ht="24" customHeight="1" x14ac:dyDescent="0.3">
      <c r="A22" s="25">
        <v>13</v>
      </c>
      <c r="B22" s="26" t="s">
        <v>202</v>
      </c>
      <c r="C22" s="25">
        <v>15</v>
      </c>
      <c r="D22" s="27" t="s">
        <v>11</v>
      </c>
      <c r="E22" s="28">
        <v>0</v>
      </c>
      <c r="F22" s="29"/>
      <c r="G22" s="30"/>
      <c r="H22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22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22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22" xr:uid="{470134B9-9C42-469F-AF16-ADF5A2FCE690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22" xr:uid="{16E8A305-4768-4EBA-A934-FFFF4848B693}">
      <formula1>0</formula1>
      <formula2>1</formula2>
    </dataValidation>
    <dataValidation type="decimal" allowBlank="1" showInputMessage="1" showErrorMessage="1" errorTitle="Giá trị không hợp lệ" error="Nhập điểm từ 0 đến 10." sqref="F10:F22" xr:uid="{BEA537F9-CAE3-40AC-B139-8E2B933BA0BB}">
      <formula1>0</formula1>
      <formula2>10</formula2>
    </dataValidation>
  </dataValidations>
  <hyperlinks>
    <hyperlink ref="B3" r:id="rId1" display="01 - AI &amp; Dữ liệu/03 - AI hỗ trợ phát triển phần mềm/claude-aiagents-cowork-masterclass" xr:uid="{3ABE935C-B10F-4193-9DAB-A06B20BFD3F1}"/>
  </hyperlinks>
  <pageMargins left="0.7" right="0.7" top="0.75" bottom="0.75" header="0.3" footer="0.3"/>
  <tableParts count="1">
    <tablePart r:id="rId2"/>
  </tablePart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3AABD-7D17-48FB-9693-6E1675B6861F}">
  <sheetPr>
    <tabColor rgb="FF0D9488"/>
  </sheetPr>
  <dimension ref="A1:H25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167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168</v>
      </c>
      <c r="C2" s="16" t="s">
        <v>25</v>
      </c>
      <c r="D2" s="15" t="s">
        <v>43</v>
      </c>
      <c r="E2" s="16" t="s">
        <v>26</v>
      </c>
      <c r="F2" s="15" t="s">
        <v>169</v>
      </c>
      <c r="G2" s="15"/>
      <c r="H2" s="15"/>
    </row>
    <row r="3" spans="1:8" ht="30" customHeight="1" x14ac:dyDescent="0.3">
      <c r="A3" s="16" t="s">
        <v>27</v>
      </c>
      <c r="B3" s="56" t="s">
        <v>170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COUNTA(B10:B25)</f>
        <v>16</v>
      </c>
      <c r="B6" s="59"/>
      <c r="C6" s="60">
        <f t="shared" ref="C6" si="1">COUNTIF(D10:D25,"Đã hoàn thành")</f>
        <v>0</v>
      </c>
      <c r="D6" s="60"/>
      <c r="E6" s="61">
        <f t="shared" ref="E6" si="2">IFERROR(AVERAGE(E10:E25),0)</f>
        <v>0</v>
      </c>
      <c r="F6" s="61"/>
      <c r="G6" s="62" t="str">
        <f t="shared" ref="G6" si="3">IFERROR(AVERAGE(F10:F25),"")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171</v>
      </c>
      <c r="C10" s="18">
        <v>8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172</v>
      </c>
      <c r="C11" s="18">
        <v>6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173</v>
      </c>
      <c r="C12" s="18">
        <v>7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174</v>
      </c>
      <c r="C13" s="18">
        <v>6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175</v>
      </c>
      <c r="C14" s="18">
        <v>7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18">
        <v>6</v>
      </c>
      <c r="B15" s="19" t="s">
        <v>176</v>
      </c>
      <c r="C15" s="18">
        <v>6</v>
      </c>
      <c r="D15" s="20" t="s">
        <v>11</v>
      </c>
      <c r="E15" s="21">
        <v>0</v>
      </c>
      <c r="F15" s="22"/>
      <c r="G15" s="23"/>
      <c r="H15" s="24"/>
    </row>
    <row r="16" spans="1:8" ht="24" customHeight="1" x14ac:dyDescent="0.3">
      <c r="A16" s="18">
        <v>7</v>
      </c>
      <c r="B16" s="19" t="s">
        <v>177</v>
      </c>
      <c r="C16" s="18">
        <v>5</v>
      </c>
      <c r="D16" s="20" t="s">
        <v>11</v>
      </c>
      <c r="E16" s="21">
        <v>0</v>
      </c>
      <c r="F16" s="22"/>
      <c r="G16" s="23"/>
      <c r="H16" s="24"/>
    </row>
    <row r="17" spans="1:8" ht="24" customHeight="1" x14ac:dyDescent="0.3">
      <c r="A17" s="18">
        <v>8</v>
      </c>
      <c r="B17" s="19" t="s">
        <v>178</v>
      </c>
      <c r="C17" s="18">
        <v>7</v>
      </c>
      <c r="D17" s="20" t="s">
        <v>11</v>
      </c>
      <c r="E17" s="21">
        <v>0</v>
      </c>
      <c r="F17" s="22"/>
      <c r="G17" s="23"/>
      <c r="H17" s="24"/>
    </row>
    <row r="18" spans="1:8" ht="24" customHeight="1" x14ac:dyDescent="0.3">
      <c r="A18" s="18">
        <v>9</v>
      </c>
      <c r="B18" s="19" t="s">
        <v>179</v>
      </c>
      <c r="C18" s="18">
        <v>6</v>
      </c>
      <c r="D18" s="20" t="s">
        <v>11</v>
      </c>
      <c r="E18" s="21">
        <v>0</v>
      </c>
      <c r="F18" s="22"/>
      <c r="G18" s="23"/>
      <c r="H18" s="24"/>
    </row>
    <row r="19" spans="1:8" ht="24" customHeight="1" x14ac:dyDescent="0.3">
      <c r="A19" s="18">
        <v>10</v>
      </c>
      <c r="B19" s="19" t="s">
        <v>180</v>
      </c>
      <c r="C19" s="18">
        <v>6</v>
      </c>
      <c r="D19" s="20" t="s">
        <v>11</v>
      </c>
      <c r="E19" s="21">
        <v>0</v>
      </c>
      <c r="F19" s="22"/>
      <c r="G19" s="23"/>
      <c r="H19" s="24"/>
    </row>
    <row r="20" spans="1:8" ht="24" customHeight="1" x14ac:dyDescent="0.3">
      <c r="A20" s="18">
        <v>11</v>
      </c>
      <c r="B20" s="19" t="s">
        <v>181</v>
      </c>
      <c r="C20" s="18">
        <v>7</v>
      </c>
      <c r="D20" s="20" t="s">
        <v>11</v>
      </c>
      <c r="E20" s="21">
        <v>0</v>
      </c>
      <c r="F20" s="22"/>
      <c r="G20" s="23"/>
      <c r="H20" s="24"/>
    </row>
    <row r="21" spans="1:8" ht="24" customHeight="1" x14ac:dyDescent="0.3">
      <c r="A21" s="18">
        <v>12</v>
      </c>
      <c r="B21" s="19" t="s">
        <v>182</v>
      </c>
      <c r="C21" s="18">
        <v>6</v>
      </c>
      <c r="D21" s="20" t="s">
        <v>11</v>
      </c>
      <c r="E21" s="21">
        <v>0</v>
      </c>
      <c r="F21" s="22"/>
      <c r="G21" s="23"/>
      <c r="H21" s="24"/>
    </row>
    <row r="22" spans="1:8" ht="24" customHeight="1" x14ac:dyDescent="0.3">
      <c r="A22" s="18">
        <v>13</v>
      </c>
      <c r="B22" s="19" t="s">
        <v>183</v>
      </c>
      <c r="C22" s="18">
        <v>5</v>
      </c>
      <c r="D22" s="20" t="s">
        <v>11</v>
      </c>
      <c r="E22" s="21">
        <v>0</v>
      </c>
      <c r="F22" s="22"/>
      <c r="G22" s="23"/>
      <c r="H22" s="24"/>
    </row>
    <row r="23" spans="1:8" ht="24" customHeight="1" x14ac:dyDescent="0.3">
      <c r="A23" s="18">
        <v>14</v>
      </c>
      <c r="B23" s="19" t="s">
        <v>184</v>
      </c>
      <c r="C23" s="18">
        <v>6</v>
      </c>
      <c r="D23" s="20" t="s">
        <v>11</v>
      </c>
      <c r="E23" s="21">
        <v>0</v>
      </c>
      <c r="F23" s="22"/>
      <c r="G23" s="23"/>
      <c r="H23" s="24"/>
    </row>
    <row r="24" spans="1:8" ht="24" customHeight="1" x14ac:dyDescent="0.3">
      <c r="A24" s="18">
        <v>15</v>
      </c>
      <c r="B24" s="19" t="s">
        <v>185</v>
      </c>
      <c r="C24" s="18">
        <v>6</v>
      </c>
      <c r="D24" s="20" t="s">
        <v>11</v>
      </c>
      <c r="E24" s="21">
        <v>0</v>
      </c>
      <c r="F24" s="22"/>
      <c r="G24" s="23"/>
      <c r="H24" s="24"/>
    </row>
    <row r="25" spans="1:8" ht="24" customHeight="1" x14ac:dyDescent="0.3">
      <c r="A25" s="25">
        <v>16</v>
      </c>
      <c r="B25" s="26" t="s">
        <v>186</v>
      </c>
      <c r="C25" s="25">
        <v>1</v>
      </c>
      <c r="D25" s="27" t="s">
        <v>11</v>
      </c>
      <c r="E25" s="28">
        <v>0</v>
      </c>
      <c r="F25" s="29"/>
      <c r="G25" s="30"/>
      <c r="H25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25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25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25" xr:uid="{D0F2BEB6-CCB5-4ADD-90CC-C1C8E227A0A9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25" xr:uid="{3819132C-1E2B-4127-BCA7-B894106D5AAF}">
      <formula1>0</formula1>
      <formula2>1</formula2>
    </dataValidation>
    <dataValidation type="decimal" allowBlank="1" showInputMessage="1" showErrorMessage="1" errorTitle="Giá trị không hợp lệ" error="Nhập điểm từ 0 đến 10." sqref="F10:F25" xr:uid="{9318585F-0EFE-44F2-AE67-40CA76366388}">
      <formula1>0</formula1>
      <formula2>10</formula2>
    </dataValidation>
  </dataValidations>
  <hyperlinks>
    <hyperlink ref="B3" r:id="rId1" display="01 - AI &amp; Dữ liệu/03 - AI hỗ trợ phát triển phần mềm/ai-coder-complete-claude-code-coding-agents" xr:uid="{1C6F2885-5C7F-4000-B785-D580E5AF2510}"/>
  </hyperlinks>
  <pageMargins left="0.7" right="0.7" top="0.75" bottom="0.75" header="0.3" footer="0.3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DBCAA-CA1F-4BF1-A520-19A701911C84}">
  <sheetPr>
    <tabColor rgb="FF0D9488"/>
  </sheetPr>
  <dimension ref="A1:H10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163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164</v>
      </c>
      <c r="C2" s="16" t="s">
        <v>25</v>
      </c>
      <c r="D2" s="15" t="s">
        <v>43</v>
      </c>
      <c r="E2" s="16" t="s">
        <v>26</v>
      </c>
      <c r="F2" s="15" t="s">
        <v>134</v>
      </c>
      <c r="G2" s="15"/>
      <c r="H2" s="15"/>
    </row>
    <row r="3" spans="1:8" ht="30" customHeight="1" x14ac:dyDescent="0.3">
      <c r="A3" s="16" t="s">
        <v>27</v>
      </c>
      <c r="B3" s="56" t="s">
        <v>165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COUNTA(B10:B10)</f>
        <v>1</v>
      </c>
      <c r="B6" s="59"/>
      <c r="C6" s="60">
        <f t="shared" ref="C6" si="1">COUNTIF(D10:D10,"Đã hoàn thành")</f>
        <v>0</v>
      </c>
      <c r="D6" s="60"/>
      <c r="E6" s="61">
        <f t="shared" ref="E6" si="2">IFERROR(AVERAGE(E10:E10),0)</f>
        <v>0</v>
      </c>
      <c r="F6" s="61"/>
      <c r="G6" s="62" t="str">
        <f t="shared" ref="G6" si="3">IFERROR(AVERAGE(F10:F10),"")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25">
        <v>1</v>
      </c>
      <c r="B10" s="26" t="s">
        <v>166</v>
      </c>
      <c r="C10" s="25">
        <v>367</v>
      </c>
      <c r="D10" s="27" t="s">
        <v>11</v>
      </c>
      <c r="E10" s="28">
        <v>0</v>
      </c>
      <c r="F10" s="29"/>
      <c r="G10" s="30"/>
      <c r="H10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" xr:uid="{503F731D-CB03-4C6E-AAF3-036BAFEA32C9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" xr:uid="{82F77E85-C60E-4F5E-BA34-3D0998E22668}">
      <formula1>0</formula1>
      <formula2>1</formula2>
    </dataValidation>
    <dataValidation type="decimal" allowBlank="1" showInputMessage="1" showErrorMessage="1" errorTitle="Giá trị không hợp lệ" error="Nhập điểm từ 0 đến 10." sqref="F10" xr:uid="{07A18CAC-0A00-4261-8AC1-A29F6D3003B5}">
      <formula1>0</formula1>
      <formula2>10</formula2>
    </dataValidation>
  </dataValidations>
  <hyperlinks>
    <hyperlink ref="B3" r:id="rId1" display="01 - AI &amp; Dữ liệu/02 - Data Science, Analytics &amp; ML/machine-learning-roadmap" xr:uid="{F6B62ED8-0464-46A9-9D1C-C871BB871C65}"/>
  </hyperlinks>
  <pageMargins left="0.7" right="0.7" top="0.75" bottom="0.75" header="0.3" footer="0.3"/>
  <tableParts count="1">
    <tablePart r:id="rId2"/>
  </tablePart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3038-DA1A-4721-BEEA-EAB63DEA57A9}">
  <sheetPr>
    <tabColor rgb="FF0D9488"/>
  </sheetPr>
  <dimension ref="A1:H19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150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151</v>
      </c>
      <c r="C2" s="16" t="s">
        <v>25</v>
      </c>
      <c r="D2" s="15" t="s">
        <v>43</v>
      </c>
      <c r="E2" s="16" t="s">
        <v>26</v>
      </c>
      <c r="F2" s="15" t="s">
        <v>134</v>
      </c>
      <c r="G2" s="15"/>
      <c r="H2" s="15"/>
    </row>
    <row r="3" spans="1:8" ht="30" customHeight="1" x14ac:dyDescent="0.3">
      <c r="A3" s="16" t="s">
        <v>27</v>
      </c>
      <c r="B3" s="56" t="s">
        <v>152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COUNTA(B10:B19)</f>
        <v>10</v>
      </c>
      <c r="B6" s="59"/>
      <c r="C6" s="60">
        <f t="shared" ref="C6" si="1">COUNTIF(D10:D19,"Đã hoàn thành")</f>
        <v>0</v>
      </c>
      <c r="D6" s="60"/>
      <c r="E6" s="61">
        <f t="shared" ref="E6" si="2">IFERROR(AVERAGE(E10:E19),0)</f>
        <v>0</v>
      </c>
      <c r="F6" s="61"/>
      <c r="G6" s="62" t="str">
        <f t="shared" ref="G6" si="3">IFERROR(AVERAGE(F10:F19),"")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153</v>
      </c>
      <c r="C10" s="18">
        <v>1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154</v>
      </c>
      <c r="C11" s="18">
        <v>1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155</v>
      </c>
      <c r="C12" s="18">
        <v>1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156</v>
      </c>
      <c r="C13" s="18">
        <v>1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157</v>
      </c>
      <c r="C14" s="18">
        <v>1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18">
        <v>6</v>
      </c>
      <c r="B15" s="19" t="s">
        <v>158</v>
      </c>
      <c r="C15" s="18">
        <v>1</v>
      </c>
      <c r="D15" s="20" t="s">
        <v>11</v>
      </c>
      <c r="E15" s="21">
        <v>0</v>
      </c>
      <c r="F15" s="22"/>
      <c r="G15" s="23"/>
      <c r="H15" s="24"/>
    </row>
    <row r="16" spans="1:8" ht="24" customHeight="1" x14ac:dyDescent="0.3">
      <c r="A16" s="18">
        <v>7</v>
      </c>
      <c r="B16" s="19" t="s">
        <v>159</v>
      </c>
      <c r="C16" s="18">
        <v>1</v>
      </c>
      <c r="D16" s="20" t="s">
        <v>11</v>
      </c>
      <c r="E16" s="21">
        <v>0</v>
      </c>
      <c r="F16" s="22"/>
      <c r="G16" s="23"/>
      <c r="H16" s="24"/>
    </row>
    <row r="17" spans="1:8" ht="24" customHeight="1" x14ac:dyDescent="0.3">
      <c r="A17" s="18">
        <v>8</v>
      </c>
      <c r="B17" s="19" t="s">
        <v>160</v>
      </c>
      <c r="C17" s="18">
        <v>1</v>
      </c>
      <c r="D17" s="20" t="s">
        <v>11</v>
      </c>
      <c r="E17" s="21">
        <v>0</v>
      </c>
      <c r="F17" s="22"/>
      <c r="G17" s="23"/>
      <c r="H17" s="24"/>
    </row>
    <row r="18" spans="1:8" ht="24" customHeight="1" x14ac:dyDescent="0.3">
      <c r="A18" s="18">
        <v>9</v>
      </c>
      <c r="B18" s="19" t="s">
        <v>161</v>
      </c>
      <c r="C18" s="18">
        <v>1</v>
      </c>
      <c r="D18" s="20" t="s">
        <v>11</v>
      </c>
      <c r="E18" s="21">
        <v>0</v>
      </c>
      <c r="F18" s="22"/>
      <c r="G18" s="23"/>
      <c r="H18" s="24"/>
    </row>
    <row r="19" spans="1:8" ht="24" customHeight="1" x14ac:dyDescent="0.3">
      <c r="A19" s="25">
        <v>10</v>
      </c>
      <c r="B19" s="26" t="s">
        <v>162</v>
      </c>
      <c r="C19" s="25">
        <v>1</v>
      </c>
      <c r="D19" s="27" t="s">
        <v>11</v>
      </c>
      <c r="E19" s="28">
        <v>0</v>
      </c>
      <c r="F19" s="29"/>
      <c r="G19" s="30"/>
      <c r="H19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19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19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19" xr:uid="{D4B66275-3557-4F73-8ABA-06FEE25B6122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19" xr:uid="{82FB930C-13E3-4350-A677-57114B0E44D6}">
      <formula1>0</formula1>
      <formula2>1</formula2>
    </dataValidation>
    <dataValidation type="decimal" allowBlank="1" showInputMessage="1" showErrorMessage="1" errorTitle="Giá trị không hợp lệ" error="Nhập điểm từ 0 đến 10." sqref="F10:F19" xr:uid="{DDB102FB-0790-4C7F-8326-F26C993915AC}">
      <formula1>0</formula1>
      <formula2>10</formula2>
    </dataValidation>
  </dataValidations>
  <hyperlinks>
    <hyperlink ref="B3" r:id="rId1" display="01 - AI &amp; Dữ liệu/02 - Data Science, Analytics &amp; ML/khoa-hoc-tinh-toan-tien-hoa" xr:uid="{8C06687B-D46F-4206-A9DC-F6B3C54E65FC}"/>
  </hyperlinks>
  <pageMargins left="0.7" right="0.7" top="0.75" bottom="0.75" header="0.3" footer="0.3"/>
  <tableParts count="1">
    <tablePart r:id="rId2"/>
  </tablePart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D29E2-14AA-4E1D-94EE-BA45137301A7}">
  <sheetPr>
    <tabColor rgb="FF0D9488"/>
  </sheetPr>
  <dimension ref="A1:H10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146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147</v>
      </c>
      <c r="C2" s="16" t="s">
        <v>25</v>
      </c>
      <c r="D2" s="15" t="s">
        <v>43</v>
      </c>
      <c r="E2" s="16" t="s">
        <v>26</v>
      </c>
      <c r="F2" s="15" t="s">
        <v>134</v>
      </c>
      <c r="G2" s="15"/>
      <c r="H2" s="15"/>
    </row>
    <row r="3" spans="1:8" ht="30" customHeight="1" x14ac:dyDescent="0.3">
      <c r="A3" s="16" t="s">
        <v>27</v>
      </c>
      <c r="B3" s="56" t="s">
        <v>148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COUNTA(B10:B10)</f>
        <v>1</v>
      </c>
      <c r="B6" s="59"/>
      <c r="C6" s="60">
        <f t="shared" ref="C6" si="1">COUNTIF(D10:D10,"Đã hoàn thành")</f>
        <v>0</v>
      </c>
      <c r="D6" s="60"/>
      <c r="E6" s="61">
        <f t="shared" ref="E6" si="2">IFERROR(AVERAGE(E10:E10),0)</f>
        <v>0</v>
      </c>
      <c r="F6" s="61"/>
      <c r="G6" s="62" t="str">
        <f t="shared" ref="G6" si="3">IFERROR(AVERAGE(F10:F10),"")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25">
        <v>1</v>
      </c>
      <c r="B10" s="26" t="s">
        <v>149</v>
      </c>
      <c r="C10" s="25">
        <v>347</v>
      </c>
      <c r="D10" s="27" t="s">
        <v>11</v>
      </c>
      <c r="E10" s="28">
        <v>0</v>
      </c>
      <c r="F10" s="29"/>
      <c r="G10" s="30"/>
      <c r="H10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" xr:uid="{61559DAF-8BD5-4144-A456-C97A1EA3F528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" xr:uid="{3DFC7128-B569-4293-BADA-609C02D0A781}">
      <formula1>0</formula1>
      <formula2>1</formula2>
    </dataValidation>
    <dataValidation type="decimal" allowBlank="1" showInputMessage="1" showErrorMessage="1" errorTitle="Giá trị không hợp lệ" error="Nhập điểm từ 0 đến 10." sqref="F10" xr:uid="{0FBF6EFB-951D-4785-8A62-ADBE37C9A360}">
      <formula1>0</formula1>
      <formula2>10</formula2>
    </dataValidation>
  </dataValidations>
  <hyperlinks>
    <hyperlink ref="B3" r:id="rId1" display="01 - AI &amp; Dữ liệu/02 - Data Science, Analytics &amp; ML/data-engineer-roadmap" xr:uid="{2A906286-24B9-4CC7-AF7B-C3F7DC8046DE}"/>
  </hyperlinks>
  <pageMargins left="0.7" right="0.7" top="0.75" bottom="0.75" header="0.3" footer="0.3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A7B7B-BB91-4EF1-8F51-E346F7531026}">
  <sheetPr>
    <tabColor rgb="FF0D9488"/>
  </sheetPr>
  <dimension ref="A1:H10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142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143</v>
      </c>
      <c r="C2" s="16" t="s">
        <v>25</v>
      </c>
      <c r="D2" s="15" t="s">
        <v>43</v>
      </c>
      <c r="E2" s="16" t="s">
        <v>26</v>
      </c>
      <c r="F2" s="15" t="s">
        <v>134</v>
      </c>
      <c r="G2" s="15"/>
      <c r="H2" s="15"/>
    </row>
    <row r="3" spans="1:8" ht="30" customHeight="1" x14ac:dyDescent="0.3">
      <c r="A3" s="16" t="s">
        <v>27</v>
      </c>
      <c r="B3" s="56" t="s">
        <v>144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COUNTA(B10:B10)</f>
        <v>1</v>
      </c>
      <c r="B6" s="59"/>
      <c r="C6" s="60">
        <f t="shared" ref="C6" si="1">COUNTIF(D10:D10,"Đã hoàn thành")</f>
        <v>0</v>
      </c>
      <c r="D6" s="60"/>
      <c r="E6" s="61">
        <f t="shared" ref="E6" si="2">IFERROR(AVERAGE(E10:E10),0)</f>
        <v>0</v>
      </c>
      <c r="F6" s="61"/>
      <c r="G6" s="62" t="str">
        <f t="shared" ref="G6" si="3">IFERROR(AVERAGE(F10:F10),"")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25">
        <v>1</v>
      </c>
      <c r="B10" s="26" t="s">
        <v>145</v>
      </c>
      <c r="C10" s="25">
        <v>100</v>
      </c>
      <c r="D10" s="27" t="s">
        <v>11</v>
      </c>
      <c r="E10" s="28">
        <v>0</v>
      </c>
      <c r="F10" s="29"/>
      <c r="G10" s="30"/>
      <c r="H10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" xr:uid="{DF9A3F24-3AD6-4199-A907-CB4C8D0E89BC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" xr:uid="{26F3DA6D-EA67-4247-89D2-C6217FDEABDC}">
      <formula1>0</formula1>
      <formula2>1</formula2>
    </dataValidation>
    <dataValidation type="decimal" allowBlank="1" showInputMessage="1" showErrorMessage="1" errorTitle="Giá trị không hợp lệ" error="Nhập điểm từ 0 đến 10." sqref="F10" xr:uid="{E692409A-847F-4349-B4E1-C5ED5DC8C39E}">
      <formula1>0</formula1>
      <formula2>10</formula2>
    </dataValidation>
  </dataValidations>
  <hyperlinks>
    <hyperlink ref="B3" r:id="rId1" display="01 - AI &amp; Dữ liệu/02 - Data Science, Analytics &amp; ML/data-analyst-roadmap" xr:uid="{B4D87506-B84A-4A9F-8289-AD73C74F38A8}"/>
  </hyperlinks>
  <pageMargins left="0.7" right="0.7" top="0.75" bottom="0.75" header="0.3" footer="0.3"/>
  <tableParts count="1">
    <tablePart r:id="rId2"/>
  </tablePart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B9DEA-18B6-4522-A6A8-124CDC8F69DA}">
  <sheetPr>
    <tabColor rgb="FF0D9488"/>
  </sheetPr>
  <dimension ref="A1:H11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137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138</v>
      </c>
      <c r="C2" s="16" t="s">
        <v>25</v>
      </c>
      <c r="D2" s="15" t="s">
        <v>43</v>
      </c>
      <c r="E2" s="16" t="s">
        <v>26</v>
      </c>
      <c r="F2" s="15" t="s">
        <v>134</v>
      </c>
      <c r="G2" s="15"/>
      <c r="H2" s="15"/>
    </row>
    <row r="3" spans="1:8" ht="30" customHeight="1" x14ac:dyDescent="0.3">
      <c r="A3" s="16" t="s">
        <v>27</v>
      </c>
      <c r="B3" s="56" t="s">
        <v>139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COUNTA(B10:B11)</f>
        <v>2</v>
      </c>
      <c r="B6" s="59"/>
      <c r="C6" s="60">
        <f t="shared" ref="C6" si="1">COUNTIF(D10:D11,"Đã hoàn thành")</f>
        <v>0</v>
      </c>
      <c r="D6" s="60"/>
      <c r="E6" s="61">
        <f t="shared" ref="E6" si="2">IFERROR(AVERAGE(E10:E11),0)</f>
        <v>0</v>
      </c>
      <c r="F6" s="61"/>
      <c r="G6" s="62" t="str">
        <f t="shared" ref="G6" si="3">IFERROR(AVERAGE(F10:F11),"")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140</v>
      </c>
      <c r="C10" s="18">
        <v>68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25">
        <v>2</v>
      </c>
      <c r="B11" s="26" t="s">
        <v>141</v>
      </c>
      <c r="C11" s="25">
        <v>5</v>
      </c>
      <c r="D11" s="27" t="s">
        <v>11</v>
      </c>
      <c r="E11" s="28">
        <v>0</v>
      </c>
      <c r="F11" s="29"/>
      <c r="G11" s="30"/>
      <c r="H11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11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11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11" xr:uid="{06A6056D-379A-491F-9A1A-B9FB3B09FE3C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11" xr:uid="{8A0A4073-DE3B-4119-83C6-5D2CBB592448}">
      <formula1>0</formula1>
      <formula2>1</formula2>
    </dataValidation>
    <dataValidation type="decimal" allowBlank="1" showInputMessage="1" showErrorMessage="1" errorTitle="Giá trị không hợp lệ" error="Nhập điểm từ 0 đến 10." sqref="F10:F11" xr:uid="{7D2B4019-1466-428B-8E8E-63BC793BE0D7}">
      <formula1>0</formula1>
      <formula2>10</formula2>
    </dataValidation>
  </dataValidations>
  <hyperlinks>
    <hyperlink ref="B3" r:id="rId1" display="01 - AI &amp; Dữ liệu/02 - Data Science, Analytics &amp; ML/bi-analyst-roadmap" xr:uid="{7DCBCE3C-42DA-4633-8FAB-DBABA1B067A7}"/>
  </hyperlinks>
  <pageMargins left="0.7" right="0.7" top="0.75" bottom="0.75" header="0.3" footer="0.3"/>
  <tableParts count="1">
    <tablePart r:id="rId2"/>
  </tablePart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4C8EC-6AD9-427B-A396-7F02EC99540C}">
  <sheetPr>
    <tabColor rgb="FF0D9488"/>
  </sheetPr>
  <dimension ref="A1:H10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132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133</v>
      </c>
      <c r="C2" s="16" t="s">
        <v>25</v>
      </c>
      <c r="D2" s="15" t="s">
        <v>43</v>
      </c>
      <c r="E2" s="16" t="s">
        <v>26</v>
      </c>
      <c r="F2" s="15" t="s">
        <v>134</v>
      </c>
      <c r="G2" s="15"/>
      <c r="H2" s="15"/>
    </row>
    <row r="3" spans="1:8" ht="30" customHeight="1" x14ac:dyDescent="0.3">
      <c r="A3" s="16" t="s">
        <v>27</v>
      </c>
      <c r="B3" s="56" t="s">
        <v>135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COUNTA(B10:B10)</f>
        <v>1</v>
      </c>
      <c r="B6" s="59"/>
      <c r="C6" s="60">
        <f t="shared" ref="C6" si="1">COUNTIF(D10:D10,"Đã hoàn thành")</f>
        <v>0</v>
      </c>
      <c r="D6" s="60"/>
      <c r="E6" s="61">
        <f t="shared" ref="E6" si="2">IFERROR(AVERAGE(E10:E10),0)</f>
        <v>0</v>
      </c>
      <c r="F6" s="61"/>
      <c r="G6" s="62" t="str">
        <f t="shared" ref="G6" si="3">IFERROR(AVERAGE(F10:F10),"")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25">
        <v>1</v>
      </c>
      <c r="B10" s="26" t="s">
        <v>136</v>
      </c>
      <c r="C10" s="25">
        <v>203</v>
      </c>
      <c r="D10" s="27" t="s">
        <v>11</v>
      </c>
      <c r="E10" s="28">
        <v>0</v>
      </c>
      <c r="F10" s="29"/>
      <c r="G10" s="30"/>
      <c r="H10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" xr:uid="{69A8872E-F516-48BF-97B6-F2FFFAB7D999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" xr:uid="{6799883D-9242-4AC8-89A5-4A174A73A2A6}">
      <formula1>0</formula1>
      <formula2>1</formula2>
    </dataValidation>
    <dataValidation type="decimal" allowBlank="1" showInputMessage="1" showErrorMessage="1" errorTitle="Giá trị không hợp lệ" error="Nhập điểm từ 0 đến 10." sqref="F10" xr:uid="{EF0A546E-F3A3-4DCB-8935-42F9126CD5CF}">
      <formula1>0</formula1>
      <formula2>10</formula2>
    </dataValidation>
  </dataValidations>
  <hyperlinks>
    <hyperlink ref="B3" r:id="rId1" display="01 - AI &amp; Dữ liệu/02 - Data Science, Analytics &amp; ML/ai-data-scientist-roadmap" xr:uid="{1AFC654B-5750-4485-847A-5C9A78744721}"/>
  </hyperlinks>
  <pageMargins left="0.7" right="0.7" top="0.75" bottom="0.75" header="0.3" footer="0.3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57BFE-95F1-4519-A0F9-3C3581C42081}">
  <sheetPr>
    <tabColor rgb="FF0D9488"/>
  </sheetPr>
  <dimension ref="A1:H38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101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102</v>
      </c>
      <c r="C2" s="16" t="s">
        <v>25</v>
      </c>
      <c r="D2" s="15" t="s">
        <v>43</v>
      </c>
      <c r="E2" s="16" t="s">
        <v>26</v>
      </c>
      <c r="F2" s="15" t="s">
        <v>44</v>
      </c>
      <c r="G2" s="15"/>
      <c r="H2" s="15"/>
    </row>
    <row r="3" spans="1:8" ht="30" customHeight="1" x14ac:dyDescent="0.3">
      <c r="A3" s="16" t="s">
        <v>27</v>
      </c>
      <c r="B3" s="56" t="s">
        <v>103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COUNTA(B10:B38)</f>
        <v>29</v>
      </c>
      <c r="B6" s="59"/>
      <c r="C6" s="60">
        <f t="shared" ref="C6" si="1">COUNTIF(D10:D38,"Đã hoàn thành")</f>
        <v>0</v>
      </c>
      <c r="D6" s="60"/>
      <c r="E6" s="61">
        <f t="shared" ref="E6" si="2">IFERROR(AVERAGE(E10:E38),0)</f>
        <v>0</v>
      </c>
      <c r="F6" s="61"/>
      <c r="G6" s="62" t="str">
        <f t="shared" ref="G6" si="3">IFERROR(AVERAGE(F10:F38),"")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62</v>
      </c>
      <c r="C10" s="18">
        <v>1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104</v>
      </c>
      <c r="C11" s="18">
        <v>4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105</v>
      </c>
      <c r="C12" s="18">
        <v>2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106</v>
      </c>
      <c r="C13" s="18">
        <v>1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107</v>
      </c>
      <c r="C14" s="18">
        <v>4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18">
        <v>6</v>
      </c>
      <c r="B15" s="19" t="s">
        <v>108</v>
      </c>
      <c r="C15" s="18">
        <v>0</v>
      </c>
      <c r="D15" s="20" t="s">
        <v>11</v>
      </c>
      <c r="E15" s="21">
        <v>0</v>
      </c>
      <c r="F15" s="22"/>
      <c r="G15" s="23"/>
      <c r="H15" s="24"/>
    </row>
    <row r="16" spans="1:8" ht="24" customHeight="1" x14ac:dyDescent="0.3">
      <c r="A16" s="18">
        <v>7</v>
      </c>
      <c r="B16" s="19" t="s">
        <v>109</v>
      </c>
      <c r="C16" s="18">
        <v>0</v>
      </c>
      <c r="D16" s="20" t="s">
        <v>11</v>
      </c>
      <c r="E16" s="21">
        <v>0</v>
      </c>
      <c r="F16" s="22"/>
      <c r="G16" s="23"/>
      <c r="H16" s="24"/>
    </row>
    <row r="17" spans="1:8" ht="24" customHeight="1" x14ac:dyDescent="0.3">
      <c r="A17" s="18">
        <v>8</v>
      </c>
      <c r="B17" s="19" t="s">
        <v>110</v>
      </c>
      <c r="C17" s="18">
        <v>0</v>
      </c>
      <c r="D17" s="20" t="s">
        <v>11</v>
      </c>
      <c r="E17" s="21">
        <v>0</v>
      </c>
      <c r="F17" s="22"/>
      <c r="G17" s="23"/>
      <c r="H17" s="24"/>
    </row>
    <row r="18" spans="1:8" ht="24" customHeight="1" x14ac:dyDescent="0.3">
      <c r="A18" s="18">
        <v>9</v>
      </c>
      <c r="B18" s="19" t="s">
        <v>111</v>
      </c>
      <c r="C18" s="18">
        <v>0</v>
      </c>
      <c r="D18" s="20" t="s">
        <v>11</v>
      </c>
      <c r="E18" s="21">
        <v>0</v>
      </c>
      <c r="F18" s="22"/>
      <c r="G18" s="23"/>
      <c r="H18" s="24"/>
    </row>
    <row r="19" spans="1:8" ht="24" customHeight="1" x14ac:dyDescent="0.3">
      <c r="A19" s="18">
        <v>10</v>
      </c>
      <c r="B19" s="19" t="s">
        <v>112</v>
      </c>
      <c r="C19" s="18">
        <v>0</v>
      </c>
      <c r="D19" s="20" t="s">
        <v>11</v>
      </c>
      <c r="E19" s="21">
        <v>0</v>
      </c>
      <c r="F19" s="22"/>
      <c r="G19" s="23"/>
      <c r="H19" s="24"/>
    </row>
    <row r="20" spans="1:8" ht="24" customHeight="1" x14ac:dyDescent="0.3">
      <c r="A20" s="18">
        <v>11</v>
      </c>
      <c r="B20" s="19" t="s">
        <v>113</v>
      </c>
      <c r="C20" s="18">
        <v>0</v>
      </c>
      <c r="D20" s="20" t="s">
        <v>11</v>
      </c>
      <c r="E20" s="21">
        <v>0</v>
      </c>
      <c r="F20" s="22"/>
      <c r="G20" s="23"/>
      <c r="H20" s="24"/>
    </row>
    <row r="21" spans="1:8" ht="24" customHeight="1" x14ac:dyDescent="0.3">
      <c r="A21" s="18">
        <v>12</v>
      </c>
      <c r="B21" s="19" t="s">
        <v>114</v>
      </c>
      <c r="C21" s="18">
        <v>0</v>
      </c>
      <c r="D21" s="20" t="s">
        <v>11</v>
      </c>
      <c r="E21" s="21">
        <v>0</v>
      </c>
      <c r="F21" s="22"/>
      <c r="G21" s="23"/>
      <c r="H21" s="24"/>
    </row>
    <row r="22" spans="1:8" ht="24" customHeight="1" x14ac:dyDescent="0.3">
      <c r="A22" s="18">
        <v>13</v>
      </c>
      <c r="B22" s="19" t="s">
        <v>115</v>
      </c>
      <c r="C22" s="18">
        <v>0</v>
      </c>
      <c r="D22" s="20" t="s">
        <v>11</v>
      </c>
      <c r="E22" s="21">
        <v>0</v>
      </c>
      <c r="F22" s="22"/>
      <c r="G22" s="23"/>
      <c r="H22" s="24"/>
    </row>
    <row r="23" spans="1:8" ht="24" customHeight="1" x14ac:dyDescent="0.3">
      <c r="A23" s="18">
        <v>14</v>
      </c>
      <c r="B23" s="19" t="s">
        <v>116</v>
      </c>
      <c r="C23" s="18">
        <v>0</v>
      </c>
      <c r="D23" s="20" t="s">
        <v>11</v>
      </c>
      <c r="E23" s="21">
        <v>0</v>
      </c>
      <c r="F23" s="22"/>
      <c r="G23" s="23"/>
      <c r="H23" s="24"/>
    </row>
    <row r="24" spans="1:8" ht="24" customHeight="1" x14ac:dyDescent="0.3">
      <c r="A24" s="18">
        <v>15</v>
      </c>
      <c r="B24" s="19" t="s">
        <v>117</v>
      </c>
      <c r="C24" s="18">
        <v>0</v>
      </c>
      <c r="D24" s="20" t="s">
        <v>11</v>
      </c>
      <c r="E24" s="21">
        <v>0</v>
      </c>
      <c r="F24" s="22"/>
      <c r="G24" s="23"/>
      <c r="H24" s="24"/>
    </row>
    <row r="25" spans="1:8" ht="24" customHeight="1" x14ac:dyDescent="0.3">
      <c r="A25" s="18">
        <v>16</v>
      </c>
      <c r="B25" s="19" t="s">
        <v>118</v>
      </c>
      <c r="C25" s="18">
        <v>0</v>
      </c>
      <c r="D25" s="20" t="s">
        <v>11</v>
      </c>
      <c r="E25" s="21">
        <v>0</v>
      </c>
      <c r="F25" s="22"/>
      <c r="G25" s="23"/>
      <c r="H25" s="24"/>
    </row>
    <row r="26" spans="1:8" ht="24" customHeight="1" x14ac:dyDescent="0.3">
      <c r="A26" s="18">
        <v>17</v>
      </c>
      <c r="B26" s="19" t="s">
        <v>119</v>
      </c>
      <c r="C26" s="18">
        <v>0</v>
      </c>
      <c r="D26" s="20" t="s">
        <v>11</v>
      </c>
      <c r="E26" s="21">
        <v>0</v>
      </c>
      <c r="F26" s="22"/>
      <c r="G26" s="23"/>
      <c r="H26" s="24"/>
    </row>
    <row r="27" spans="1:8" ht="24" customHeight="1" x14ac:dyDescent="0.3">
      <c r="A27" s="18">
        <v>18</v>
      </c>
      <c r="B27" s="19" t="s">
        <v>120</v>
      </c>
      <c r="C27" s="18">
        <v>0</v>
      </c>
      <c r="D27" s="20" t="s">
        <v>11</v>
      </c>
      <c r="E27" s="21">
        <v>0</v>
      </c>
      <c r="F27" s="22"/>
      <c r="G27" s="23"/>
      <c r="H27" s="24"/>
    </row>
    <row r="28" spans="1:8" ht="24" customHeight="1" x14ac:dyDescent="0.3">
      <c r="A28" s="18">
        <v>19</v>
      </c>
      <c r="B28" s="19" t="s">
        <v>121</v>
      </c>
      <c r="C28" s="18">
        <v>0</v>
      </c>
      <c r="D28" s="20" t="s">
        <v>11</v>
      </c>
      <c r="E28" s="21">
        <v>0</v>
      </c>
      <c r="F28" s="22"/>
      <c r="G28" s="23"/>
      <c r="H28" s="24"/>
    </row>
    <row r="29" spans="1:8" ht="24" customHeight="1" x14ac:dyDescent="0.3">
      <c r="A29" s="18">
        <v>20</v>
      </c>
      <c r="B29" s="19" t="s">
        <v>122</v>
      </c>
      <c r="C29" s="18">
        <v>0</v>
      </c>
      <c r="D29" s="20" t="s">
        <v>11</v>
      </c>
      <c r="E29" s="21">
        <v>0</v>
      </c>
      <c r="F29" s="22"/>
      <c r="G29" s="23"/>
      <c r="H29" s="24"/>
    </row>
    <row r="30" spans="1:8" ht="24" customHeight="1" x14ac:dyDescent="0.3">
      <c r="A30" s="18">
        <v>21</v>
      </c>
      <c r="B30" s="19" t="s">
        <v>123</v>
      </c>
      <c r="C30" s="18">
        <v>0</v>
      </c>
      <c r="D30" s="20" t="s">
        <v>11</v>
      </c>
      <c r="E30" s="21">
        <v>0</v>
      </c>
      <c r="F30" s="22"/>
      <c r="G30" s="23"/>
      <c r="H30" s="24"/>
    </row>
    <row r="31" spans="1:8" ht="24" customHeight="1" x14ac:dyDescent="0.3">
      <c r="A31" s="18">
        <v>22</v>
      </c>
      <c r="B31" s="19" t="s">
        <v>124</v>
      </c>
      <c r="C31" s="18">
        <v>0</v>
      </c>
      <c r="D31" s="20" t="s">
        <v>11</v>
      </c>
      <c r="E31" s="21">
        <v>0</v>
      </c>
      <c r="F31" s="22"/>
      <c r="G31" s="23"/>
      <c r="H31" s="24"/>
    </row>
    <row r="32" spans="1:8" ht="24" customHeight="1" x14ac:dyDescent="0.3">
      <c r="A32" s="18">
        <v>23</v>
      </c>
      <c r="B32" s="19" t="s">
        <v>125</v>
      </c>
      <c r="C32" s="18">
        <v>0</v>
      </c>
      <c r="D32" s="20" t="s">
        <v>11</v>
      </c>
      <c r="E32" s="21">
        <v>0</v>
      </c>
      <c r="F32" s="22"/>
      <c r="G32" s="23"/>
      <c r="H32" s="24"/>
    </row>
    <row r="33" spans="1:8" ht="24" customHeight="1" x14ac:dyDescent="0.3">
      <c r="A33" s="18">
        <v>24</v>
      </c>
      <c r="B33" s="19" t="s">
        <v>126</v>
      </c>
      <c r="C33" s="18">
        <v>0</v>
      </c>
      <c r="D33" s="20" t="s">
        <v>11</v>
      </c>
      <c r="E33" s="21">
        <v>0</v>
      </c>
      <c r="F33" s="22"/>
      <c r="G33" s="23"/>
      <c r="H33" s="24"/>
    </row>
    <row r="34" spans="1:8" ht="24" customHeight="1" x14ac:dyDescent="0.3">
      <c r="A34" s="18">
        <v>25</v>
      </c>
      <c r="B34" s="19" t="s">
        <v>127</v>
      </c>
      <c r="C34" s="18">
        <v>0</v>
      </c>
      <c r="D34" s="20" t="s">
        <v>11</v>
      </c>
      <c r="E34" s="21">
        <v>0</v>
      </c>
      <c r="F34" s="22"/>
      <c r="G34" s="23"/>
      <c r="H34" s="24"/>
    </row>
    <row r="35" spans="1:8" ht="24" customHeight="1" x14ac:dyDescent="0.3">
      <c r="A35" s="18">
        <v>26</v>
      </c>
      <c r="B35" s="19" t="s">
        <v>128</v>
      </c>
      <c r="C35" s="18">
        <v>0</v>
      </c>
      <c r="D35" s="20" t="s">
        <v>11</v>
      </c>
      <c r="E35" s="21">
        <v>0</v>
      </c>
      <c r="F35" s="22"/>
      <c r="G35" s="23"/>
      <c r="H35" s="24"/>
    </row>
    <row r="36" spans="1:8" ht="24" customHeight="1" x14ac:dyDescent="0.3">
      <c r="A36" s="18">
        <v>27</v>
      </c>
      <c r="B36" s="19" t="s">
        <v>129</v>
      </c>
      <c r="C36" s="18">
        <v>0</v>
      </c>
      <c r="D36" s="20" t="s">
        <v>11</v>
      </c>
      <c r="E36" s="21">
        <v>0</v>
      </c>
      <c r="F36" s="22"/>
      <c r="G36" s="23"/>
      <c r="H36" s="24"/>
    </row>
    <row r="37" spans="1:8" ht="24" customHeight="1" x14ac:dyDescent="0.3">
      <c r="A37" s="18">
        <v>28</v>
      </c>
      <c r="B37" s="19" t="s">
        <v>130</v>
      </c>
      <c r="C37" s="18">
        <v>0</v>
      </c>
      <c r="D37" s="20" t="s">
        <v>11</v>
      </c>
      <c r="E37" s="21">
        <v>0</v>
      </c>
      <c r="F37" s="22"/>
      <c r="G37" s="23"/>
      <c r="H37" s="24"/>
    </row>
    <row r="38" spans="1:8" ht="24" customHeight="1" x14ac:dyDescent="0.3">
      <c r="A38" s="25">
        <v>29</v>
      </c>
      <c r="B38" s="26" t="s">
        <v>131</v>
      </c>
      <c r="C38" s="25">
        <v>0</v>
      </c>
      <c r="D38" s="27" t="s">
        <v>11</v>
      </c>
      <c r="E38" s="28">
        <v>0</v>
      </c>
      <c r="F38" s="29"/>
      <c r="G38" s="30"/>
      <c r="H38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38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38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38" xr:uid="{412156B6-0925-4F8A-8E94-6815AB5E441F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38" xr:uid="{088E28CE-26EC-4F3C-96D0-89029993E9EF}">
      <formula1>0</formula1>
      <formula2>1</formula2>
    </dataValidation>
    <dataValidation type="decimal" allowBlank="1" showInputMessage="1" showErrorMessage="1" errorTitle="Giá trị không hợp lệ" error="Nhập điểm từ 0 đến 10." sqref="F10:F38" xr:uid="{E5145C04-964B-40D3-BA8C-6EEA38E99AFB}">
      <formula1>0</formula1>
      <formula2>10</formula2>
    </dataValidation>
  </dataValidations>
  <hyperlinks>
    <hyperlink ref="B3" r:id="rId1" display="01 - AI &amp; Dữ liệu/01 - AI Engineering &amp; LLM/ultimate-rag-bootcamp" xr:uid="{1CE74A13-EA11-413B-8967-C2F9D5B29C23}"/>
  </hyperlinks>
  <pageMargins left="0.7" right="0.7" top="0.75" bottom="0.75" header="0.3" footer="0.3"/>
  <tableParts count="1">
    <tablePart r:id="rId2"/>
  </tablePart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5B8D1-E14E-45B3-BAE3-43F205218416}">
  <sheetPr>
    <tabColor rgb="FF0D9488"/>
  </sheetPr>
  <dimension ref="A1:H18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90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91</v>
      </c>
      <c r="C2" s="16" t="s">
        <v>25</v>
      </c>
      <c r="D2" s="15" t="s">
        <v>43</v>
      </c>
      <c r="E2" s="16" t="s">
        <v>26</v>
      </c>
      <c r="F2" s="15" t="s">
        <v>44</v>
      </c>
      <c r="G2" s="15"/>
      <c r="H2" s="15"/>
    </row>
    <row r="3" spans="1:8" ht="30" customHeight="1" x14ac:dyDescent="0.3">
      <c r="A3" s="16" t="s">
        <v>27</v>
      </c>
      <c r="B3" s="56" t="s">
        <v>92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COUNTA(B10:B18)</f>
        <v>9</v>
      </c>
      <c r="B6" s="59"/>
      <c r="C6" s="60">
        <f t="shared" ref="C6" si="1">COUNTIF(D10:D18,"Đã hoàn thành")</f>
        <v>0</v>
      </c>
      <c r="D6" s="60"/>
      <c r="E6" s="61">
        <f t="shared" ref="E6" si="2">IFERROR(AVERAGE(E10:E18),0)</f>
        <v>0</v>
      </c>
      <c r="F6" s="61"/>
      <c r="G6" s="62" t="str">
        <f t="shared" ref="G6" si="3">IFERROR(AVERAGE(F10:F18),"")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62</v>
      </c>
      <c r="C10" s="18">
        <v>2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93</v>
      </c>
      <c r="C11" s="18">
        <v>5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94</v>
      </c>
      <c r="C12" s="18">
        <v>6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95</v>
      </c>
      <c r="C13" s="18">
        <v>3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96</v>
      </c>
      <c r="C14" s="18">
        <v>7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18">
        <v>6</v>
      </c>
      <c r="B15" s="19" t="s">
        <v>97</v>
      </c>
      <c r="C15" s="18">
        <v>5</v>
      </c>
      <c r="D15" s="20" t="s">
        <v>11</v>
      </c>
      <c r="E15" s="21">
        <v>0</v>
      </c>
      <c r="F15" s="22"/>
      <c r="G15" s="23"/>
      <c r="H15" s="24"/>
    </row>
    <row r="16" spans="1:8" ht="24" customHeight="1" x14ac:dyDescent="0.3">
      <c r="A16" s="18">
        <v>7</v>
      </c>
      <c r="B16" s="19" t="s">
        <v>98</v>
      </c>
      <c r="C16" s="18">
        <v>3</v>
      </c>
      <c r="D16" s="20" t="s">
        <v>11</v>
      </c>
      <c r="E16" s="21">
        <v>0</v>
      </c>
      <c r="F16" s="22"/>
      <c r="G16" s="23"/>
      <c r="H16" s="24"/>
    </row>
    <row r="17" spans="1:8" ht="24" customHeight="1" x14ac:dyDescent="0.3">
      <c r="A17" s="18">
        <v>8</v>
      </c>
      <c r="B17" s="19" t="s">
        <v>99</v>
      </c>
      <c r="C17" s="18">
        <v>5</v>
      </c>
      <c r="D17" s="20" t="s">
        <v>11</v>
      </c>
      <c r="E17" s="21">
        <v>0</v>
      </c>
      <c r="F17" s="22"/>
      <c r="G17" s="23"/>
      <c r="H17" s="24"/>
    </row>
    <row r="18" spans="1:8" ht="24" customHeight="1" x14ac:dyDescent="0.3">
      <c r="A18" s="25">
        <v>9</v>
      </c>
      <c r="B18" s="26" t="s">
        <v>100</v>
      </c>
      <c r="C18" s="25">
        <v>2</v>
      </c>
      <c r="D18" s="27" t="s">
        <v>11</v>
      </c>
      <c r="E18" s="28">
        <v>0</v>
      </c>
      <c r="F18" s="29"/>
      <c r="G18" s="30"/>
      <c r="H18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18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18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18" xr:uid="{0FE947B3-370D-480B-A6C0-A4CDFDAF8858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18" xr:uid="{0056C825-13B9-4B7C-AEE8-B9D1FAB5DCDA}">
      <formula1>0</formula1>
      <formula2>1</formula2>
    </dataValidation>
    <dataValidation type="decimal" allowBlank="1" showInputMessage="1" showErrorMessage="1" errorTitle="Giá trị không hợp lệ" error="Nhập điểm từ 0 đến 10." sqref="F10:F18" xr:uid="{B3B18019-2D3B-4CAD-A5F6-524E193D1AEA}">
      <formula1>0</formula1>
      <formula2>10</formula2>
    </dataValidation>
  </dataValidations>
  <hyperlinks>
    <hyperlink ref="B3" r:id="rId1" display="01 - AI &amp; Dữ liệu/01 - AI Engineering &amp; LLM/rag-basic-to-advanced" xr:uid="{E173AD31-EE7A-43E6-B094-4EA16C0A3AAD}"/>
  </hyperlinks>
  <pageMargins left="0.7" right="0.7" top="0.75" bottom="0.75" header="0.3" footer="0.3"/>
  <tableParts count="1">
    <tablePart r:id="rId2"/>
  </tablePart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B1B33-1E39-46ED-A460-AAAE95E9CA37}">
  <sheetPr>
    <tabColor rgb="FF0D9488"/>
  </sheetPr>
  <dimension ref="A1:H37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59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60</v>
      </c>
      <c r="C2" s="16" t="s">
        <v>25</v>
      </c>
      <c r="D2" s="15" t="s">
        <v>43</v>
      </c>
      <c r="E2" s="16" t="s">
        <v>26</v>
      </c>
      <c r="F2" s="15" t="s">
        <v>44</v>
      </c>
      <c r="G2" s="15"/>
      <c r="H2" s="15"/>
    </row>
    <row r="3" spans="1:8" ht="30" customHeight="1" x14ac:dyDescent="0.3">
      <c r="A3" s="16" t="s">
        <v>27</v>
      </c>
      <c r="B3" s="56" t="s">
        <v>61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COUNTA(B10:B37)</f>
        <v>28</v>
      </c>
      <c r="B6" s="59"/>
      <c r="C6" s="60">
        <f t="shared" ref="C6" si="1">COUNTIF(D10:D37,"Đã hoàn thành")</f>
        <v>0</v>
      </c>
      <c r="D6" s="60"/>
      <c r="E6" s="61">
        <f t="shared" ref="E6" si="2">IFERROR(AVERAGE(E10:E37),0)</f>
        <v>0</v>
      </c>
      <c r="F6" s="61"/>
      <c r="G6" s="62" t="str">
        <f t="shared" ref="G6" si="3">IFERROR(AVERAGE(F10:F37),"")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62</v>
      </c>
      <c r="C10" s="18">
        <v>5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63</v>
      </c>
      <c r="C11" s="18">
        <v>9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64</v>
      </c>
      <c r="C12" s="18">
        <v>9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65</v>
      </c>
      <c r="C13" s="18">
        <v>4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66</v>
      </c>
      <c r="C14" s="18">
        <v>5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18">
        <v>6</v>
      </c>
      <c r="B15" s="19" t="s">
        <v>67</v>
      </c>
      <c r="C15" s="18">
        <v>4</v>
      </c>
      <c r="D15" s="20" t="s">
        <v>11</v>
      </c>
      <c r="E15" s="21">
        <v>0</v>
      </c>
      <c r="F15" s="22"/>
      <c r="G15" s="23"/>
      <c r="H15" s="24"/>
    </row>
    <row r="16" spans="1:8" ht="24" customHeight="1" x14ac:dyDescent="0.3">
      <c r="A16" s="18">
        <v>7</v>
      </c>
      <c r="B16" s="19" t="s">
        <v>68</v>
      </c>
      <c r="C16" s="18">
        <v>6</v>
      </c>
      <c r="D16" s="20" t="s">
        <v>11</v>
      </c>
      <c r="E16" s="21">
        <v>0</v>
      </c>
      <c r="F16" s="22"/>
      <c r="G16" s="23"/>
      <c r="H16" s="24"/>
    </row>
    <row r="17" spans="1:8" ht="24" customHeight="1" x14ac:dyDescent="0.3">
      <c r="A17" s="18">
        <v>8</v>
      </c>
      <c r="B17" s="19" t="s">
        <v>69</v>
      </c>
      <c r="C17" s="18">
        <v>2</v>
      </c>
      <c r="D17" s="20" t="s">
        <v>11</v>
      </c>
      <c r="E17" s="21">
        <v>0</v>
      </c>
      <c r="F17" s="22"/>
      <c r="G17" s="23"/>
      <c r="H17" s="24"/>
    </row>
    <row r="18" spans="1:8" ht="24" customHeight="1" x14ac:dyDescent="0.3">
      <c r="A18" s="18">
        <v>9</v>
      </c>
      <c r="B18" s="19" t="s">
        <v>70</v>
      </c>
      <c r="C18" s="18">
        <v>10</v>
      </c>
      <c r="D18" s="20" t="s">
        <v>11</v>
      </c>
      <c r="E18" s="21">
        <v>0</v>
      </c>
      <c r="F18" s="22"/>
      <c r="G18" s="23"/>
      <c r="H18" s="24"/>
    </row>
    <row r="19" spans="1:8" ht="24" customHeight="1" x14ac:dyDescent="0.3">
      <c r="A19" s="18">
        <v>10</v>
      </c>
      <c r="B19" s="19" t="s">
        <v>71</v>
      </c>
      <c r="C19" s="18">
        <v>16</v>
      </c>
      <c r="D19" s="20" t="s">
        <v>11</v>
      </c>
      <c r="E19" s="21">
        <v>0</v>
      </c>
      <c r="F19" s="22"/>
      <c r="G19" s="23"/>
      <c r="H19" s="24"/>
    </row>
    <row r="20" spans="1:8" ht="24" customHeight="1" x14ac:dyDescent="0.3">
      <c r="A20" s="18">
        <v>11</v>
      </c>
      <c r="B20" s="19" t="s">
        <v>72</v>
      </c>
      <c r="C20" s="18">
        <v>6</v>
      </c>
      <c r="D20" s="20" t="s">
        <v>11</v>
      </c>
      <c r="E20" s="21">
        <v>0</v>
      </c>
      <c r="F20" s="22"/>
      <c r="G20" s="23"/>
      <c r="H20" s="24"/>
    </row>
    <row r="21" spans="1:8" ht="24" customHeight="1" x14ac:dyDescent="0.3">
      <c r="A21" s="18">
        <v>12</v>
      </c>
      <c r="B21" s="19" t="s">
        <v>73</v>
      </c>
      <c r="C21" s="18">
        <v>5</v>
      </c>
      <c r="D21" s="20" t="s">
        <v>11</v>
      </c>
      <c r="E21" s="21">
        <v>0</v>
      </c>
      <c r="F21" s="22"/>
      <c r="G21" s="23"/>
      <c r="H21" s="24"/>
    </row>
    <row r="22" spans="1:8" ht="24" customHeight="1" x14ac:dyDescent="0.3">
      <c r="A22" s="18">
        <v>13</v>
      </c>
      <c r="B22" s="19" t="s">
        <v>74</v>
      </c>
      <c r="C22" s="18">
        <v>5</v>
      </c>
      <c r="D22" s="20" t="s">
        <v>11</v>
      </c>
      <c r="E22" s="21">
        <v>0</v>
      </c>
      <c r="F22" s="22"/>
      <c r="G22" s="23"/>
      <c r="H22" s="24"/>
    </row>
    <row r="23" spans="1:8" ht="24" customHeight="1" x14ac:dyDescent="0.3">
      <c r="A23" s="18">
        <v>14</v>
      </c>
      <c r="B23" s="19" t="s">
        <v>75</v>
      </c>
      <c r="C23" s="18">
        <v>8</v>
      </c>
      <c r="D23" s="20" t="s">
        <v>11</v>
      </c>
      <c r="E23" s="21">
        <v>0</v>
      </c>
      <c r="F23" s="22"/>
      <c r="G23" s="23"/>
      <c r="H23" s="24"/>
    </row>
    <row r="24" spans="1:8" ht="24" customHeight="1" x14ac:dyDescent="0.3">
      <c r="A24" s="18">
        <v>15</v>
      </c>
      <c r="B24" s="19" t="s">
        <v>76</v>
      </c>
      <c r="C24" s="18">
        <v>7</v>
      </c>
      <c r="D24" s="20" t="s">
        <v>11</v>
      </c>
      <c r="E24" s="21">
        <v>0</v>
      </c>
      <c r="F24" s="22"/>
      <c r="G24" s="23"/>
      <c r="H24" s="24"/>
    </row>
    <row r="25" spans="1:8" ht="24" customHeight="1" x14ac:dyDescent="0.3">
      <c r="A25" s="18">
        <v>16</v>
      </c>
      <c r="B25" s="19" t="s">
        <v>77</v>
      </c>
      <c r="C25" s="18">
        <v>6</v>
      </c>
      <c r="D25" s="20" t="s">
        <v>11</v>
      </c>
      <c r="E25" s="21">
        <v>0</v>
      </c>
      <c r="F25" s="22"/>
      <c r="G25" s="23"/>
      <c r="H25" s="24"/>
    </row>
    <row r="26" spans="1:8" ht="24" customHeight="1" x14ac:dyDescent="0.3">
      <c r="A26" s="18">
        <v>17</v>
      </c>
      <c r="B26" s="19" t="s">
        <v>78</v>
      </c>
      <c r="C26" s="18">
        <v>7</v>
      </c>
      <c r="D26" s="20" t="s">
        <v>11</v>
      </c>
      <c r="E26" s="21">
        <v>0</v>
      </c>
      <c r="F26" s="22"/>
      <c r="G26" s="23"/>
      <c r="H26" s="24"/>
    </row>
    <row r="27" spans="1:8" ht="24" customHeight="1" x14ac:dyDescent="0.3">
      <c r="A27" s="18">
        <v>18</v>
      </c>
      <c r="B27" s="19" t="s">
        <v>79</v>
      </c>
      <c r="C27" s="18">
        <v>7</v>
      </c>
      <c r="D27" s="20" t="s">
        <v>11</v>
      </c>
      <c r="E27" s="21">
        <v>0</v>
      </c>
      <c r="F27" s="22"/>
      <c r="G27" s="23"/>
      <c r="H27" s="24"/>
    </row>
    <row r="28" spans="1:8" ht="24" customHeight="1" x14ac:dyDescent="0.3">
      <c r="A28" s="18">
        <v>19</v>
      </c>
      <c r="B28" s="19" t="s">
        <v>80</v>
      </c>
      <c r="C28" s="18">
        <v>5</v>
      </c>
      <c r="D28" s="20" t="s">
        <v>11</v>
      </c>
      <c r="E28" s="21">
        <v>0</v>
      </c>
      <c r="F28" s="22"/>
      <c r="G28" s="23"/>
      <c r="H28" s="24"/>
    </row>
    <row r="29" spans="1:8" ht="24" customHeight="1" x14ac:dyDescent="0.3">
      <c r="A29" s="18">
        <v>20</v>
      </c>
      <c r="B29" s="19" t="s">
        <v>81</v>
      </c>
      <c r="C29" s="18">
        <v>8</v>
      </c>
      <c r="D29" s="20" t="s">
        <v>11</v>
      </c>
      <c r="E29" s="21">
        <v>0</v>
      </c>
      <c r="F29" s="22"/>
      <c r="G29" s="23"/>
      <c r="H29" s="24"/>
    </row>
    <row r="30" spans="1:8" ht="24" customHeight="1" x14ac:dyDescent="0.3">
      <c r="A30" s="18">
        <v>21</v>
      </c>
      <c r="B30" s="19" t="s">
        <v>82</v>
      </c>
      <c r="C30" s="18">
        <v>7</v>
      </c>
      <c r="D30" s="20" t="s">
        <v>11</v>
      </c>
      <c r="E30" s="21">
        <v>0</v>
      </c>
      <c r="F30" s="22"/>
      <c r="G30" s="23"/>
      <c r="H30" s="24"/>
    </row>
    <row r="31" spans="1:8" ht="24" customHeight="1" x14ac:dyDescent="0.3">
      <c r="A31" s="18">
        <v>22</v>
      </c>
      <c r="B31" s="19" t="s">
        <v>83</v>
      </c>
      <c r="C31" s="18">
        <v>8</v>
      </c>
      <c r="D31" s="20" t="s">
        <v>11</v>
      </c>
      <c r="E31" s="21">
        <v>0</v>
      </c>
      <c r="F31" s="22"/>
      <c r="G31" s="23"/>
      <c r="H31" s="24"/>
    </row>
    <row r="32" spans="1:8" ht="24" customHeight="1" x14ac:dyDescent="0.3">
      <c r="A32" s="18">
        <v>23</v>
      </c>
      <c r="B32" s="19" t="s">
        <v>84</v>
      </c>
      <c r="C32" s="18">
        <v>5</v>
      </c>
      <c r="D32" s="20" t="s">
        <v>11</v>
      </c>
      <c r="E32" s="21">
        <v>0</v>
      </c>
      <c r="F32" s="22"/>
      <c r="G32" s="23"/>
      <c r="H32" s="24"/>
    </row>
    <row r="33" spans="1:8" ht="24" customHeight="1" x14ac:dyDescent="0.3">
      <c r="A33" s="18">
        <v>24</v>
      </c>
      <c r="B33" s="19" t="s">
        <v>85</v>
      </c>
      <c r="C33" s="18">
        <v>4</v>
      </c>
      <c r="D33" s="20" t="s">
        <v>11</v>
      </c>
      <c r="E33" s="21">
        <v>0</v>
      </c>
      <c r="F33" s="22"/>
      <c r="G33" s="23"/>
      <c r="H33" s="24"/>
    </row>
    <row r="34" spans="1:8" ht="24" customHeight="1" x14ac:dyDescent="0.3">
      <c r="A34" s="18">
        <v>25</v>
      </c>
      <c r="B34" s="19" t="s">
        <v>86</v>
      </c>
      <c r="C34" s="18">
        <v>7</v>
      </c>
      <c r="D34" s="20" t="s">
        <v>11</v>
      </c>
      <c r="E34" s="21">
        <v>0</v>
      </c>
      <c r="F34" s="22"/>
      <c r="G34" s="23"/>
      <c r="H34" s="24"/>
    </row>
    <row r="35" spans="1:8" ht="24" customHeight="1" x14ac:dyDescent="0.3">
      <c r="A35" s="18">
        <v>26</v>
      </c>
      <c r="B35" s="19" t="s">
        <v>87</v>
      </c>
      <c r="C35" s="18">
        <v>5</v>
      </c>
      <c r="D35" s="20" t="s">
        <v>11</v>
      </c>
      <c r="E35" s="21">
        <v>0</v>
      </c>
      <c r="F35" s="22"/>
      <c r="G35" s="23"/>
      <c r="H35" s="24"/>
    </row>
    <row r="36" spans="1:8" ht="24" customHeight="1" x14ac:dyDescent="0.3">
      <c r="A36" s="18">
        <v>27</v>
      </c>
      <c r="B36" s="19" t="s">
        <v>88</v>
      </c>
      <c r="C36" s="18">
        <v>5</v>
      </c>
      <c r="D36" s="20" t="s">
        <v>11</v>
      </c>
      <c r="E36" s="21">
        <v>0</v>
      </c>
      <c r="F36" s="22"/>
      <c r="G36" s="23"/>
      <c r="H36" s="24"/>
    </row>
    <row r="37" spans="1:8" ht="24" customHeight="1" x14ac:dyDescent="0.3">
      <c r="A37" s="25">
        <v>28</v>
      </c>
      <c r="B37" s="26" t="s">
        <v>89</v>
      </c>
      <c r="C37" s="25">
        <v>4</v>
      </c>
      <c r="D37" s="27" t="s">
        <v>11</v>
      </c>
      <c r="E37" s="28">
        <v>0</v>
      </c>
      <c r="F37" s="29"/>
      <c r="G37" s="30"/>
      <c r="H37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37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37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37" xr:uid="{7950C19D-2396-4EE8-8F7D-65AAF636C9F8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37" xr:uid="{DF0C81E9-1E42-45FF-8D1B-EFEBD44B8EB5}">
      <formula1>0</formula1>
      <formula2>1</formula2>
    </dataValidation>
    <dataValidation type="decimal" allowBlank="1" showInputMessage="1" showErrorMessage="1" errorTitle="Giá trị không hợp lệ" error="Nhập điểm từ 0 đến 10." sqref="F10:F37" xr:uid="{8C8DA989-11A3-4C29-A938-D6206AAE5FD0}">
      <formula1>0</formula1>
      <formula2>10</formula2>
    </dataValidation>
  </dataValidations>
  <hyperlinks>
    <hyperlink ref="B3" r:id="rId1" display="01 - AI &amp; Dữ liệu/01 - AI Engineering &amp; LLM/langchain" xr:uid="{F16A927F-E199-4DB3-B12A-B57349FDE589}"/>
  </hyperlinks>
  <pageMargins left="0.7" right="0.7" top="0.75" bottom="0.75" header="0.3" footer="0.3"/>
  <tableParts count="1">
    <tablePart r:id="rId2"/>
  </tablePart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E4BFB-709A-466B-A422-C58633E64DB8}">
  <sheetPr>
    <tabColor rgb="FF0D9488"/>
  </sheetPr>
  <dimension ref="A1:H10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55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56</v>
      </c>
      <c r="C2" s="16" t="s">
        <v>25</v>
      </c>
      <c r="D2" s="15" t="s">
        <v>43</v>
      </c>
      <c r="E2" s="16" t="s">
        <v>26</v>
      </c>
      <c r="F2" s="15" t="s">
        <v>44</v>
      </c>
      <c r="G2" s="15"/>
      <c r="H2" s="15"/>
    </row>
    <row r="3" spans="1:8" ht="30" customHeight="1" x14ac:dyDescent="0.3">
      <c r="A3" s="16" t="s">
        <v>27</v>
      </c>
      <c r="B3" s="56" t="s">
        <v>57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COUNTA(B10:B10)</f>
        <v>1</v>
      </c>
      <c r="B6" s="59"/>
      <c r="C6" s="60">
        <f t="shared" ref="C6" si="1">COUNTIF(D10:D10,"Đã hoàn thành")</f>
        <v>0</v>
      </c>
      <c r="D6" s="60"/>
      <c r="E6" s="61">
        <f t="shared" ref="E6" si="2">IFERROR(AVERAGE(E10:E10),0)</f>
        <v>0</v>
      </c>
      <c r="F6" s="61"/>
      <c r="G6" s="62" t="str">
        <f t="shared" ref="G6" si="3">IFERROR(AVERAGE(F10:F10),"")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25">
        <v>1</v>
      </c>
      <c r="B10" s="26" t="s">
        <v>58</v>
      </c>
      <c r="C10" s="25">
        <v>201</v>
      </c>
      <c r="D10" s="27" t="s">
        <v>11</v>
      </c>
      <c r="E10" s="28">
        <v>0</v>
      </c>
      <c r="F10" s="29"/>
      <c r="G10" s="30"/>
      <c r="H10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" xr:uid="{1ECDCAB4-5C7E-4F61-BF53-0301C2F88DBD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" xr:uid="{BAFE0235-E79A-4C2E-85D3-2F96204D20BF}">
      <formula1>0</formula1>
      <formula2>1</formula2>
    </dataValidation>
    <dataValidation type="decimal" allowBlank="1" showInputMessage="1" showErrorMessage="1" errorTitle="Giá trị không hợp lệ" error="Nhập điểm từ 0 đến 10." sqref="F10" xr:uid="{FDB181F6-4750-4B72-A04F-15AD4D32B1F6}">
      <formula1>0</formula1>
      <formula2>10</formula2>
    </dataValidation>
  </dataValidations>
  <hyperlinks>
    <hyperlink ref="B3" r:id="rId1" display="01 - AI &amp; Dữ liệu/01 - AI Engineering &amp; LLM/ai-engineer-roadmap" xr:uid="{97E1B37E-D4AA-4701-932D-527CE2739227}"/>
  </hyperlinks>
  <pageMargins left="0.7" right="0.7" top="0.75" bottom="0.75" header="0.3" footer="0.3"/>
  <tableParts count="1">
    <tablePart r:id="rId2"/>
  </tablePart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C4321-5290-450C-AEE6-EB949B8FD733}">
  <sheetPr>
    <tabColor rgb="FF0D9488"/>
  </sheetPr>
  <dimension ref="A1:H17"/>
  <sheetViews>
    <sheetView workbookViewId="0">
      <pane ySplit="9" topLeftCell="A10" activePane="bottomLeft" state="frozen"/>
      <selection pane="bottomLeft" activeCell="A10" sqref="A10"/>
    </sheetView>
  </sheetViews>
  <sheetFormatPr defaultRowHeight="14.4" x14ac:dyDescent="0.3"/>
  <cols>
    <col min="1" max="1" width="6.77734375" customWidth="1"/>
    <col min="2" max="2" width="54.77734375" customWidth="1"/>
    <col min="3" max="3" width="10.77734375" customWidth="1"/>
    <col min="4" max="4" width="18.77734375" customWidth="1"/>
    <col min="5" max="5" width="14.77734375" customWidth="1"/>
    <col min="6" max="6" width="12.77734375" customWidth="1"/>
    <col min="7" max="7" width="16.77734375" customWidth="1"/>
    <col min="8" max="8" width="34.77734375" customWidth="1"/>
  </cols>
  <sheetData>
    <row r="1" spans="1:8" ht="31.95" customHeight="1" x14ac:dyDescent="0.3">
      <c r="A1" s="55" t="s">
        <v>41</v>
      </c>
      <c r="B1" s="55"/>
      <c r="C1" s="55"/>
      <c r="D1" s="55"/>
      <c r="E1" s="55"/>
      <c r="F1" s="55"/>
      <c r="G1" s="55"/>
      <c r="H1" s="55"/>
    </row>
    <row r="2" spans="1:8" ht="19.95" customHeight="1" x14ac:dyDescent="0.3">
      <c r="A2" s="16" t="s">
        <v>23</v>
      </c>
      <c r="B2" s="15" t="s">
        <v>42</v>
      </c>
      <c r="C2" s="16" t="s">
        <v>25</v>
      </c>
      <c r="D2" s="15" t="s">
        <v>43</v>
      </c>
      <c r="E2" s="16" t="s">
        <v>26</v>
      </c>
      <c r="F2" s="15" t="s">
        <v>44</v>
      </c>
      <c r="G2" s="15"/>
      <c r="H2" s="15"/>
    </row>
    <row r="3" spans="1:8" ht="30" customHeight="1" x14ac:dyDescent="0.3">
      <c r="A3" s="16" t="s">
        <v>27</v>
      </c>
      <c r="B3" s="56" t="s">
        <v>45</v>
      </c>
      <c r="C3" s="73"/>
      <c r="D3" s="73"/>
      <c r="E3" s="73"/>
      <c r="F3" s="73"/>
      <c r="G3" s="73"/>
      <c r="H3" s="73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 t="shared" ref="A6" si="0">COUNTA(B10:B17)</f>
        <v>8</v>
      </c>
      <c r="B6" s="59"/>
      <c r="C6" s="60">
        <f t="shared" ref="C6" si="1">COUNTIF(D10:D17,"Đã hoàn thành")</f>
        <v>0</v>
      </c>
      <c r="D6" s="60"/>
      <c r="E6" s="61">
        <f t="shared" ref="E6" si="2">IFERROR(AVERAGE(E10:E17),0)</f>
        <v>0</v>
      </c>
      <c r="F6" s="61"/>
      <c r="G6" s="62" t="str">
        <f t="shared" ref="G6" si="3">IFERROR(AVERAGE(F10:F17),"")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46</v>
      </c>
      <c r="B8" s="64"/>
      <c r="C8" s="64"/>
      <c r="D8" s="64"/>
      <c r="E8" s="64"/>
      <c r="F8" s="64"/>
      <c r="G8" s="64"/>
      <c r="H8" s="64"/>
    </row>
    <row r="9" spans="1:8" ht="30" customHeight="1" x14ac:dyDescent="0.3">
      <c r="A9" s="17" t="s">
        <v>34</v>
      </c>
      <c r="B9" s="17" t="s">
        <v>35</v>
      </c>
      <c r="C9" s="17" t="s">
        <v>36</v>
      </c>
      <c r="D9" s="17" t="s">
        <v>10</v>
      </c>
      <c r="E9" s="17" t="s">
        <v>37</v>
      </c>
      <c r="F9" s="17" t="s">
        <v>38</v>
      </c>
      <c r="G9" s="17" t="s">
        <v>39</v>
      </c>
      <c r="H9" s="17" t="s">
        <v>40</v>
      </c>
    </row>
    <row r="10" spans="1:8" ht="24" customHeight="1" x14ac:dyDescent="0.3">
      <c r="A10" s="18">
        <v>1</v>
      </c>
      <c r="B10" s="19" t="s">
        <v>47</v>
      </c>
      <c r="C10" s="18">
        <v>5</v>
      </c>
      <c r="D10" s="20" t="s">
        <v>11</v>
      </c>
      <c r="E10" s="21">
        <v>0</v>
      </c>
      <c r="F10" s="22"/>
      <c r="G10" s="23"/>
      <c r="H10" s="24"/>
    </row>
    <row r="11" spans="1:8" ht="24" customHeight="1" x14ac:dyDescent="0.3">
      <c r="A11" s="18">
        <v>2</v>
      </c>
      <c r="B11" s="19" t="s">
        <v>48</v>
      </c>
      <c r="C11" s="18">
        <v>5</v>
      </c>
      <c r="D11" s="20" t="s">
        <v>11</v>
      </c>
      <c r="E11" s="21">
        <v>0</v>
      </c>
      <c r="F11" s="22"/>
      <c r="G11" s="23"/>
      <c r="H11" s="24"/>
    </row>
    <row r="12" spans="1:8" ht="24" customHeight="1" x14ac:dyDescent="0.3">
      <c r="A12" s="18">
        <v>3</v>
      </c>
      <c r="B12" s="19" t="s">
        <v>49</v>
      </c>
      <c r="C12" s="18">
        <v>5</v>
      </c>
      <c r="D12" s="20" t="s">
        <v>11</v>
      </c>
      <c r="E12" s="21">
        <v>0</v>
      </c>
      <c r="F12" s="22"/>
      <c r="G12" s="23"/>
      <c r="H12" s="24"/>
    </row>
    <row r="13" spans="1:8" ht="24" customHeight="1" x14ac:dyDescent="0.3">
      <c r="A13" s="18">
        <v>4</v>
      </c>
      <c r="B13" s="19" t="s">
        <v>50</v>
      </c>
      <c r="C13" s="18">
        <v>5</v>
      </c>
      <c r="D13" s="20" t="s">
        <v>11</v>
      </c>
      <c r="E13" s="21">
        <v>0</v>
      </c>
      <c r="F13" s="22"/>
      <c r="G13" s="23"/>
      <c r="H13" s="24"/>
    </row>
    <row r="14" spans="1:8" ht="24" customHeight="1" x14ac:dyDescent="0.3">
      <c r="A14" s="18">
        <v>5</v>
      </c>
      <c r="B14" s="19" t="s">
        <v>51</v>
      </c>
      <c r="C14" s="18">
        <v>5</v>
      </c>
      <c r="D14" s="20" t="s">
        <v>11</v>
      </c>
      <c r="E14" s="21">
        <v>0</v>
      </c>
      <c r="F14" s="22"/>
      <c r="G14" s="23"/>
      <c r="H14" s="24"/>
    </row>
    <row r="15" spans="1:8" ht="24" customHeight="1" x14ac:dyDescent="0.3">
      <c r="A15" s="18">
        <v>6</v>
      </c>
      <c r="B15" s="19" t="s">
        <v>52</v>
      </c>
      <c r="C15" s="18">
        <v>5</v>
      </c>
      <c r="D15" s="20" t="s">
        <v>11</v>
      </c>
      <c r="E15" s="21">
        <v>0</v>
      </c>
      <c r="F15" s="22"/>
      <c r="G15" s="23"/>
      <c r="H15" s="24"/>
    </row>
    <row r="16" spans="1:8" ht="24" customHeight="1" x14ac:dyDescent="0.3">
      <c r="A16" s="18">
        <v>7</v>
      </c>
      <c r="B16" s="19" t="s">
        <v>53</v>
      </c>
      <c r="C16" s="18">
        <v>5</v>
      </c>
      <c r="D16" s="20" t="s">
        <v>11</v>
      </c>
      <c r="E16" s="21">
        <v>0</v>
      </c>
      <c r="F16" s="22"/>
      <c r="G16" s="23"/>
      <c r="H16" s="24"/>
    </row>
    <row r="17" spans="1:8" ht="24" customHeight="1" x14ac:dyDescent="0.3">
      <c r="A17" s="25">
        <v>8</v>
      </c>
      <c r="B17" s="26" t="s">
        <v>54</v>
      </c>
      <c r="C17" s="25">
        <v>5</v>
      </c>
      <c r="D17" s="27" t="s">
        <v>11</v>
      </c>
      <c r="E17" s="28">
        <v>0</v>
      </c>
      <c r="F17" s="29"/>
      <c r="G17" s="30"/>
      <c r="H17" s="31"/>
    </row>
  </sheetData>
  <mergeCells count="11">
    <mergeCell ref="A8:H8"/>
    <mergeCell ref="A1:H1"/>
    <mergeCell ref="B3:H3"/>
    <mergeCell ref="A5:B5"/>
    <mergeCell ref="A6:B7"/>
    <mergeCell ref="C5:D5"/>
    <mergeCell ref="C6:D7"/>
    <mergeCell ref="E5:F5"/>
    <mergeCell ref="E6:F7"/>
    <mergeCell ref="G5:H5"/>
    <mergeCell ref="G6:H7"/>
  </mergeCells>
  <conditionalFormatting sqref="E10:E17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17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list" allowBlank="1" showInputMessage="1" showErrorMessage="1" errorTitle="Trạng thái không hợp lệ" error="Chọn một trạng thái trong danh sách." sqref="D10:D17" xr:uid="{F50CF6A4-2C22-4B2D-85E7-A9A04187AF08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  <dataValidation type="decimal" allowBlank="1" showInputMessage="1" showErrorMessage="1" errorTitle="Giá trị không hợp lệ" error="Nhập phần trăm từ 0% đến 100%." sqref="E10:E17" xr:uid="{4E3F4BBD-583F-4346-835E-1EE567E36F6A}">
      <formula1>0</formula1>
      <formula2>1</formula2>
    </dataValidation>
    <dataValidation type="decimal" allowBlank="1" showInputMessage="1" showErrorMessage="1" errorTitle="Giá trị không hợp lệ" error="Nhập điểm từ 0 đến 10." sqref="F10:F17" xr:uid="{333D063E-B762-48FE-8A13-55292BCB4AAF}">
      <formula1>0</formula1>
      <formula2>10</formula2>
    </dataValidation>
  </dataValidations>
  <hyperlinks>
    <hyperlink ref="B3" r:id="rId1" display="01 - AI &amp; Dữ liệu/01 - AI Engineering &amp; LLM/Ai-engineer" xr:uid="{876D9403-82DA-488B-ACF9-59C92DC6412B}"/>
  </hyperlinks>
  <pageMargins left="0.7" right="0.7" top="0.75" bottom="0.75" header="0.3" footer="0.3"/>
  <tableParts count="1">
    <tablePart r:id="rId2"/>
  </tablePart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EE86C-4162-4385-ABE8-F7DBDA628F1D}">
  <dimension ref="A1:H209"/>
  <sheetViews>
    <sheetView workbookViewId="0"/>
  </sheetViews>
  <sheetFormatPr defaultRowHeight="14.4" x14ac:dyDescent="0.3"/>
  <cols>
    <col min="2" max="2" width="9" customWidth="1"/>
    <col min="4" max="4" width="10.88671875" customWidth="1"/>
    <col min="5" max="5" width="12" customWidth="1"/>
    <col min="6" max="6" width="10.33203125" customWidth="1"/>
    <col min="7" max="7" width="16.33203125" customWidth="1"/>
    <col min="8" max="8" width="9.109375" customWidth="1"/>
  </cols>
  <sheetData>
    <row r="1" spans="1:8" ht="23.4" x14ac:dyDescent="0.3">
      <c r="A1" s="55" t="s">
        <v>1421</v>
      </c>
      <c r="B1" s="55"/>
      <c r="C1" s="55"/>
      <c r="D1" s="55"/>
      <c r="E1" s="55"/>
      <c r="F1" s="55"/>
      <c r="G1" s="55"/>
      <c r="H1" s="55"/>
    </row>
    <row r="2" spans="1:8" x14ac:dyDescent="0.3">
      <c r="A2" s="6" t="s">
        <v>23</v>
      </c>
      <c r="B2" s="5" t="s">
        <v>1422</v>
      </c>
      <c r="C2" s="6" t="s">
        <v>25</v>
      </c>
      <c r="D2" s="5" t="s">
        <v>670</v>
      </c>
      <c r="E2" s="6" t="s">
        <v>26</v>
      </c>
      <c r="F2" s="5" t="s">
        <v>671</v>
      </c>
      <c r="G2" s="5"/>
      <c r="H2" s="5"/>
    </row>
    <row r="3" spans="1:8" x14ac:dyDescent="0.3">
      <c r="A3" s="6" t="s">
        <v>27</v>
      </c>
      <c r="B3" s="56" t="s">
        <v>1423</v>
      </c>
      <c r="C3" s="57"/>
      <c r="D3" s="57"/>
      <c r="E3" s="57"/>
      <c r="F3" s="57"/>
      <c r="G3" s="57"/>
      <c r="H3" s="57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>COUNTA(B10:B16)</f>
        <v>7</v>
      </c>
      <c r="B6" s="59"/>
      <c r="C6" s="60">
        <f>COUNTIF(D10:D16,"Đã hoàn thành")</f>
        <v>0</v>
      </c>
      <c r="D6" s="60"/>
      <c r="E6" s="61">
        <f>IFERROR(AVERAGE(E10:E16),0)</f>
        <v>0</v>
      </c>
      <c r="F6" s="61"/>
      <c r="G6" s="62" t="str">
        <f>IFERROR(AVERAGE(F10:F16),"")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33</v>
      </c>
      <c r="B8" s="64"/>
      <c r="C8" s="64"/>
      <c r="D8" s="64"/>
      <c r="E8" s="64"/>
      <c r="F8" s="64"/>
      <c r="G8" s="64"/>
      <c r="H8" s="64"/>
    </row>
    <row r="9" spans="1:8" ht="43.2" x14ac:dyDescent="0.3">
      <c r="A9" s="7" t="s">
        <v>34</v>
      </c>
      <c r="B9" s="7" t="s">
        <v>35</v>
      </c>
      <c r="C9" s="7" t="s">
        <v>36</v>
      </c>
      <c r="D9" s="7" t="s">
        <v>10</v>
      </c>
      <c r="E9" s="7" t="s">
        <v>37</v>
      </c>
      <c r="F9" s="7" t="s">
        <v>38</v>
      </c>
      <c r="G9" s="7" t="s">
        <v>39</v>
      </c>
      <c r="H9" s="7" t="s">
        <v>40</v>
      </c>
    </row>
    <row r="10" spans="1:8" ht="30" customHeight="1" x14ac:dyDescent="0.3">
      <c r="A10" s="8">
        <f>1</f>
        <v>1</v>
      </c>
      <c r="B10" s="13" t="s">
        <v>1424</v>
      </c>
      <c r="C10" s="8">
        <f>20</f>
        <v>20</v>
      </c>
      <c r="D10" s="43" t="s">
        <v>11</v>
      </c>
      <c r="E10" s="44">
        <f>0</f>
        <v>0</v>
      </c>
      <c r="F10" s="45"/>
      <c r="G10" s="46"/>
      <c r="H10" s="47"/>
    </row>
    <row r="11" spans="1:8" ht="30" customHeight="1" x14ac:dyDescent="0.3">
      <c r="A11" s="8">
        <f>2</f>
        <v>2</v>
      </c>
      <c r="B11" s="13" t="s">
        <v>1425</v>
      </c>
      <c r="C11" s="8">
        <f>7</f>
        <v>7</v>
      </c>
      <c r="D11" s="43" t="s">
        <v>11</v>
      </c>
      <c r="E11" s="44">
        <f>0</f>
        <v>0</v>
      </c>
      <c r="F11" s="45"/>
      <c r="G11" s="46"/>
      <c r="H11" s="47"/>
    </row>
    <row r="12" spans="1:8" ht="30" customHeight="1" x14ac:dyDescent="0.3">
      <c r="A12" s="8">
        <f>3</f>
        <v>3</v>
      </c>
      <c r="B12" s="13" t="s">
        <v>1426</v>
      </c>
      <c r="C12" s="8">
        <f>4</f>
        <v>4</v>
      </c>
      <c r="D12" s="43" t="s">
        <v>11</v>
      </c>
      <c r="E12" s="44">
        <f>0</f>
        <v>0</v>
      </c>
      <c r="F12" s="45"/>
      <c r="G12" s="46"/>
      <c r="H12" s="47"/>
    </row>
    <row r="13" spans="1:8" ht="30" customHeight="1" x14ac:dyDescent="0.3">
      <c r="A13" s="8">
        <f>4</f>
        <v>4</v>
      </c>
      <c r="B13" s="13" t="s">
        <v>1427</v>
      </c>
      <c r="C13" s="8">
        <f>9</f>
        <v>9</v>
      </c>
      <c r="D13" s="43" t="s">
        <v>11</v>
      </c>
      <c r="E13" s="44">
        <f>0</f>
        <v>0</v>
      </c>
      <c r="F13" s="45"/>
      <c r="G13" s="46"/>
      <c r="H13" s="47"/>
    </row>
    <row r="14" spans="1:8" ht="30" customHeight="1" x14ac:dyDescent="0.3">
      <c r="A14" s="8">
        <f>5</f>
        <v>5</v>
      </c>
      <c r="B14" s="13" t="s">
        <v>1428</v>
      </c>
      <c r="C14" s="8">
        <f>8</f>
        <v>8</v>
      </c>
      <c r="D14" s="43" t="s">
        <v>11</v>
      </c>
      <c r="E14" s="44">
        <f>0</f>
        <v>0</v>
      </c>
      <c r="F14" s="45"/>
      <c r="G14" s="46"/>
      <c r="H14" s="47"/>
    </row>
    <row r="15" spans="1:8" ht="30" customHeight="1" x14ac:dyDescent="0.3">
      <c r="A15" s="8">
        <f>6</f>
        <v>6</v>
      </c>
      <c r="B15" s="13" t="s">
        <v>1429</v>
      </c>
      <c r="C15" s="8">
        <f>12</f>
        <v>12</v>
      </c>
      <c r="D15" s="43" t="s">
        <v>11</v>
      </c>
      <c r="E15" s="44">
        <f>0</f>
        <v>0</v>
      </c>
      <c r="F15" s="45"/>
      <c r="G15" s="46"/>
      <c r="H15" s="47"/>
    </row>
    <row r="16" spans="1:8" ht="30" customHeight="1" x14ac:dyDescent="0.3">
      <c r="A16" s="48">
        <f>7</f>
        <v>7</v>
      </c>
      <c r="B16" s="49" t="s">
        <v>1430</v>
      </c>
      <c r="C16" s="48">
        <f>6</f>
        <v>6</v>
      </c>
      <c r="D16" s="50" t="s">
        <v>11</v>
      </c>
      <c r="E16" s="51">
        <f>0</f>
        <v>0</v>
      </c>
      <c r="F16" s="52"/>
      <c r="G16" s="53"/>
      <c r="H16" s="54"/>
    </row>
    <row r="17" spans="1:8" x14ac:dyDescent="0.3">
      <c r="A17" s="8"/>
      <c r="B17" s="13"/>
      <c r="C17" s="8"/>
      <c r="D17" s="9"/>
      <c r="E17" s="10"/>
      <c r="F17" s="11"/>
      <c r="G17" s="12"/>
      <c r="H17" s="14"/>
    </row>
    <row r="18" spans="1:8" x14ac:dyDescent="0.3">
      <c r="A18" s="8"/>
      <c r="B18" s="13"/>
      <c r="C18" s="8"/>
      <c r="D18" s="9"/>
      <c r="E18" s="10"/>
      <c r="F18" s="11"/>
      <c r="G18" s="12"/>
      <c r="H18" s="14"/>
    </row>
    <row r="19" spans="1:8" x14ac:dyDescent="0.3">
      <c r="A19" s="8"/>
      <c r="B19" s="13"/>
      <c r="C19" s="8"/>
      <c r="D19" s="9"/>
      <c r="E19" s="10"/>
      <c r="F19" s="11"/>
      <c r="G19" s="12"/>
      <c r="H19" s="14"/>
    </row>
    <row r="20" spans="1:8" x14ac:dyDescent="0.3">
      <c r="A20" s="8"/>
      <c r="B20" s="13"/>
      <c r="C20" s="8"/>
      <c r="D20" s="9"/>
      <c r="E20" s="10"/>
      <c r="F20" s="11"/>
      <c r="G20" s="12"/>
      <c r="H20" s="14"/>
    </row>
    <row r="21" spans="1:8" x14ac:dyDescent="0.3">
      <c r="A21" s="8"/>
      <c r="B21" s="13"/>
      <c r="C21" s="8"/>
      <c r="D21" s="9"/>
      <c r="E21" s="10"/>
      <c r="F21" s="11"/>
      <c r="G21" s="12"/>
      <c r="H21" s="14"/>
    </row>
    <row r="22" spans="1:8" x14ac:dyDescent="0.3">
      <c r="A22" s="8"/>
      <c r="B22" s="13"/>
      <c r="C22" s="8"/>
      <c r="D22" s="9"/>
      <c r="E22" s="10"/>
      <c r="F22" s="11"/>
      <c r="G22" s="12"/>
      <c r="H22" s="14"/>
    </row>
    <row r="23" spans="1:8" x14ac:dyDescent="0.3">
      <c r="A23" s="8"/>
      <c r="B23" s="13"/>
      <c r="C23" s="8"/>
      <c r="D23" s="9"/>
      <c r="E23" s="10"/>
      <c r="F23" s="11"/>
      <c r="G23" s="12"/>
      <c r="H23" s="14"/>
    </row>
    <row r="24" spans="1:8" x14ac:dyDescent="0.3">
      <c r="A24" s="8"/>
      <c r="B24" s="13"/>
      <c r="C24" s="8"/>
      <c r="D24" s="9"/>
      <c r="E24" s="10"/>
      <c r="F24" s="11"/>
      <c r="G24" s="12"/>
      <c r="H24" s="14"/>
    </row>
    <row r="25" spans="1:8" x14ac:dyDescent="0.3">
      <c r="A25" s="8"/>
      <c r="B25" s="13"/>
      <c r="C25" s="8"/>
      <c r="D25" s="9"/>
      <c r="E25" s="10"/>
      <c r="F25" s="11"/>
      <c r="G25" s="12"/>
      <c r="H25" s="14"/>
    </row>
    <row r="26" spans="1:8" x14ac:dyDescent="0.3">
      <c r="A26" s="8"/>
      <c r="B26" s="13"/>
      <c r="C26" s="8"/>
      <c r="D26" s="9"/>
      <c r="E26" s="10"/>
      <c r="F26" s="11"/>
      <c r="G26" s="12"/>
      <c r="H26" s="14"/>
    </row>
    <row r="27" spans="1:8" x14ac:dyDescent="0.3">
      <c r="A27" s="8"/>
      <c r="B27" s="13"/>
      <c r="C27" s="8"/>
      <c r="D27" s="9"/>
      <c r="E27" s="10"/>
      <c r="F27" s="11"/>
      <c r="G27" s="12"/>
      <c r="H27" s="14"/>
    </row>
    <row r="28" spans="1:8" x14ac:dyDescent="0.3">
      <c r="A28" s="8"/>
      <c r="B28" s="13"/>
      <c r="C28" s="8"/>
      <c r="D28" s="9"/>
      <c r="E28" s="10"/>
      <c r="F28" s="11"/>
      <c r="G28" s="12"/>
      <c r="H28" s="14"/>
    </row>
    <row r="29" spans="1:8" x14ac:dyDescent="0.3">
      <c r="A29" s="8"/>
      <c r="B29" s="13"/>
      <c r="C29" s="8"/>
      <c r="D29" s="9"/>
      <c r="E29" s="10"/>
      <c r="F29" s="11"/>
      <c r="G29" s="12"/>
      <c r="H29" s="14"/>
    </row>
    <row r="30" spans="1:8" x14ac:dyDescent="0.3">
      <c r="A30" s="8"/>
      <c r="B30" s="13"/>
      <c r="C30" s="8"/>
      <c r="D30" s="9"/>
      <c r="E30" s="10"/>
      <c r="F30" s="11"/>
      <c r="G30" s="12"/>
      <c r="H30" s="14"/>
    </row>
    <row r="31" spans="1:8" x14ac:dyDescent="0.3">
      <c r="A31" s="8"/>
      <c r="B31" s="13"/>
      <c r="C31" s="8"/>
      <c r="D31" s="9"/>
      <c r="E31" s="10"/>
      <c r="F31" s="11"/>
      <c r="G31" s="12"/>
      <c r="H31" s="14"/>
    </row>
    <row r="32" spans="1:8" x14ac:dyDescent="0.3">
      <c r="A32" s="8"/>
      <c r="B32" s="13"/>
      <c r="C32" s="8"/>
      <c r="D32" s="9"/>
      <c r="E32" s="10"/>
      <c r="F32" s="11"/>
      <c r="G32" s="12"/>
      <c r="H32" s="14"/>
    </row>
    <row r="33" spans="1:8" x14ac:dyDescent="0.3">
      <c r="A33" s="8"/>
      <c r="B33" s="13"/>
      <c r="C33" s="8"/>
      <c r="D33" s="9"/>
      <c r="E33" s="10"/>
      <c r="F33" s="11"/>
      <c r="G33" s="12"/>
      <c r="H33" s="14"/>
    </row>
    <row r="34" spans="1:8" x14ac:dyDescent="0.3">
      <c r="A34" s="8"/>
      <c r="B34" s="13"/>
      <c r="C34" s="8"/>
      <c r="D34" s="9"/>
      <c r="E34" s="10"/>
      <c r="F34" s="11"/>
      <c r="G34" s="12"/>
      <c r="H34" s="14"/>
    </row>
    <row r="35" spans="1:8" x14ac:dyDescent="0.3">
      <c r="A35" s="8"/>
      <c r="B35" s="13"/>
      <c r="C35" s="8"/>
      <c r="D35" s="9"/>
      <c r="E35" s="10"/>
      <c r="F35" s="11"/>
      <c r="G35" s="12"/>
      <c r="H35" s="14"/>
    </row>
    <row r="36" spans="1:8" x14ac:dyDescent="0.3">
      <c r="A36" s="8"/>
      <c r="B36" s="13"/>
      <c r="C36" s="8"/>
      <c r="D36" s="9"/>
      <c r="E36" s="10"/>
      <c r="F36" s="11"/>
      <c r="G36" s="12"/>
      <c r="H36" s="14"/>
    </row>
    <row r="37" spans="1:8" x14ac:dyDescent="0.3">
      <c r="A37" s="8"/>
      <c r="B37" s="13"/>
      <c r="C37" s="8"/>
      <c r="D37" s="9"/>
      <c r="E37" s="10"/>
      <c r="F37" s="11"/>
      <c r="G37" s="12"/>
      <c r="H37" s="14"/>
    </row>
    <row r="38" spans="1:8" x14ac:dyDescent="0.3">
      <c r="A38" s="8"/>
      <c r="B38" s="13"/>
      <c r="C38" s="8"/>
      <c r="D38" s="9"/>
      <c r="E38" s="10"/>
      <c r="F38" s="11"/>
      <c r="G38" s="12"/>
      <c r="H38" s="14"/>
    </row>
    <row r="39" spans="1:8" x14ac:dyDescent="0.3">
      <c r="A39" s="8"/>
      <c r="B39" s="13"/>
      <c r="C39" s="8"/>
      <c r="D39" s="9"/>
      <c r="E39" s="10"/>
      <c r="F39" s="11"/>
      <c r="G39" s="12"/>
      <c r="H39" s="14"/>
    </row>
    <row r="40" spans="1:8" x14ac:dyDescent="0.3">
      <c r="A40" s="8"/>
      <c r="B40" s="13"/>
      <c r="C40" s="8"/>
      <c r="D40" s="9"/>
      <c r="E40" s="10"/>
      <c r="F40" s="11"/>
      <c r="G40" s="12"/>
      <c r="H40" s="14"/>
    </row>
    <row r="41" spans="1:8" x14ac:dyDescent="0.3">
      <c r="A41" s="8"/>
      <c r="B41" s="13"/>
      <c r="C41" s="8"/>
      <c r="D41" s="9"/>
      <c r="E41" s="10"/>
      <c r="F41" s="11"/>
      <c r="G41" s="12"/>
      <c r="H41" s="14"/>
    </row>
    <row r="42" spans="1:8" x14ac:dyDescent="0.3">
      <c r="A42" s="8"/>
      <c r="B42" s="13"/>
      <c r="C42" s="8"/>
      <c r="D42" s="9"/>
      <c r="E42" s="10"/>
      <c r="F42" s="11"/>
      <c r="G42" s="12"/>
      <c r="H42" s="14"/>
    </row>
    <row r="43" spans="1:8" x14ac:dyDescent="0.3">
      <c r="A43" s="8"/>
      <c r="B43" s="13"/>
      <c r="C43" s="8"/>
      <c r="D43" s="9"/>
      <c r="E43" s="10"/>
      <c r="F43" s="11"/>
      <c r="G43" s="12"/>
      <c r="H43" s="14"/>
    </row>
    <row r="44" spans="1:8" x14ac:dyDescent="0.3">
      <c r="A44" s="8"/>
      <c r="B44" s="13"/>
      <c r="C44" s="8"/>
      <c r="D44" s="9"/>
      <c r="E44" s="10"/>
      <c r="F44" s="11"/>
      <c r="G44" s="12"/>
      <c r="H44" s="14"/>
    </row>
    <row r="45" spans="1:8" x14ac:dyDescent="0.3">
      <c r="A45" s="8"/>
      <c r="B45" s="13"/>
      <c r="C45" s="8"/>
      <c r="D45" s="9"/>
      <c r="E45" s="10"/>
      <c r="F45" s="11"/>
      <c r="G45" s="12"/>
      <c r="H45" s="14"/>
    </row>
    <row r="46" spans="1:8" x14ac:dyDescent="0.3">
      <c r="A46" s="8"/>
      <c r="B46" s="13"/>
      <c r="C46" s="8"/>
      <c r="D46" s="9"/>
      <c r="E46" s="10"/>
      <c r="F46" s="11"/>
      <c r="G46" s="12"/>
      <c r="H46" s="14"/>
    </row>
    <row r="47" spans="1:8" x14ac:dyDescent="0.3">
      <c r="A47" s="8"/>
      <c r="B47" s="13"/>
      <c r="C47" s="8"/>
      <c r="D47" s="9"/>
      <c r="E47" s="10"/>
      <c r="F47" s="11"/>
      <c r="G47" s="12"/>
      <c r="H47" s="14"/>
    </row>
    <row r="48" spans="1:8" x14ac:dyDescent="0.3">
      <c r="A48" s="8"/>
      <c r="B48" s="13"/>
      <c r="C48" s="8"/>
      <c r="D48" s="9"/>
      <c r="E48" s="10"/>
      <c r="F48" s="11"/>
      <c r="G48" s="12"/>
      <c r="H48" s="14"/>
    </row>
    <row r="49" spans="1:8" x14ac:dyDescent="0.3">
      <c r="A49" s="8"/>
      <c r="B49" s="13"/>
      <c r="C49" s="8"/>
      <c r="D49" s="9"/>
      <c r="E49" s="10"/>
      <c r="F49" s="11"/>
      <c r="G49" s="12"/>
      <c r="H49" s="14"/>
    </row>
    <row r="50" spans="1:8" x14ac:dyDescent="0.3">
      <c r="A50" s="8"/>
      <c r="B50" s="13"/>
      <c r="C50" s="8"/>
      <c r="D50" s="9"/>
      <c r="E50" s="10"/>
      <c r="F50" s="11"/>
      <c r="G50" s="12"/>
      <c r="H50" s="14"/>
    </row>
    <row r="51" spans="1:8" x14ac:dyDescent="0.3">
      <c r="A51" s="8"/>
      <c r="B51" s="13"/>
      <c r="C51" s="8"/>
      <c r="D51" s="9"/>
      <c r="E51" s="10"/>
      <c r="F51" s="11"/>
      <c r="G51" s="12"/>
      <c r="H51" s="14"/>
    </row>
    <row r="52" spans="1:8" x14ac:dyDescent="0.3">
      <c r="A52" s="8"/>
      <c r="B52" s="13"/>
      <c r="C52" s="8"/>
      <c r="D52" s="9"/>
      <c r="E52" s="10"/>
      <c r="F52" s="11"/>
      <c r="G52" s="12"/>
      <c r="H52" s="14"/>
    </row>
    <row r="53" spans="1:8" x14ac:dyDescent="0.3">
      <c r="A53" s="8"/>
      <c r="B53" s="13"/>
      <c r="C53" s="8"/>
      <c r="D53" s="9"/>
      <c r="E53" s="10"/>
      <c r="F53" s="11"/>
      <c r="G53" s="12"/>
      <c r="H53" s="14"/>
    </row>
    <row r="54" spans="1:8" x14ac:dyDescent="0.3">
      <c r="A54" s="8"/>
      <c r="B54" s="13"/>
      <c r="C54" s="8"/>
      <c r="D54" s="9"/>
      <c r="E54" s="10"/>
      <c r="F54" s="11"/>
      <c r="G54" s="12"/>
      <c r="H54" s="14"/>
    </row>
    <row r="55" spans="1:8" x14ac:dyDescent="0.3">
      <c r="A55" s="8"/>
      <c r="B55" s="13"/>
      <c r="C55" s="8"/>
      <c r="D55" s="9"/>
      <c r="E55" s="10"/>
      <c r="F55" s="11"/>
      <c r="G55" s="12"/>
      <c r="H55" s="14"/>
    </row>
    <row r="56" spans="1:8" x14ac:dyDescent="0.3">
      <c r="A56" s="8"/>
      <c r="B56" s="13"/>
      <c r="C56" s="8"/>
      <c r="D56" s="9"/>
      <c r="E56" s="10"/>
      <c r="F56" s="11"/>
      <c r="G56" s="12"/>
      <c r="H56" s="14"/>
    </row>
    <row r="57" spans="1:8" x14ac:dyDescent="0.3">
      <c r="A57" s="8"/>
      <c r="B57" s="13"/>
      <c r="C57" s="8"/>
      <c r="D57" s="9"/>
      <c r="E57" s="10"/>
      <c r="F57" s="11"/>
      <c r="G57" s="12"/>
      <c r="H57" s="14"/>
    </row>
    <row r="58" spans="1:8" x14ac:dyDescent="0.3">
      <c r="A58" s="8"/>
      <c r="B58" s="13"/>
      <c r="C58" s="8"/>
      <c r="D58" s="9"/>
      <c r="E58" s="10"/>
      <c r="F58" s="11"/>
      <c r="G58" s="12"/>
      <c r="H58" s="14"/>
    </row>
    <row r="59" spans="1:8" x14ac:dyDescent="0.3">
      <c r="A59" s="8"/>
      <c r="B59" s="13"/>
      <c r="C59" s="8"/>
      <c r="D59" s="9"/>
      <c r="E59" s="10"/>
      <c r="F59" s="11"/>
      <c r="G59" s="12"/>
      <c r="H59" s="14"/>
    </row>
    <row r="60" spans="1:8" x14ac:dyDescent="0.3">
      <c r="A60" s="8"/>
      <c r="B60" s="13"/>
      <c r="C60" s="8"/>
      <c r="D60" s="9"/>
      <c r="E60" s="10"/>
      <c r="F60" s="11"/>
      <c r="G60" s="12"/>
      <c r="H60" s="14"/>
    </row>
    <row r="61" spans="1:8" x14ac:dyDescent="0.3">
      <c r="A61" s="8"/>
      <c r="B61" s="13"/>
      <c r="C61" s="8"/>
      <c r="D61" s="9"/>
      <c r="E61" s="10"/>
      <c r="F61" s="11"/>
      <c r="G61" s="12"/>
      <c r="H61" s="14"/>
    </row>
    <row r="62" spans="1:8" x14ac:dyDescent="0.3">
      <c r="A62" s="8"/>
      <c r="B62" s="13"/>
      <c r="C62" s="8"/>
      <c r="D62" s="9"/>
      <c r="E62" s="10"/>
      <c r="F62" s="11"/>
      <c r="G62" s="12"/>
      <c r="H62" s="14"/>
    </row>
    <row r="63" spans="1:8" x14ac:dyDescent="0.3">
      <c r="A63" s="8"/>
      <c r="B63" s="13"/>
      <c r="C63" s="8"/>
      <c r="D63" s="9"/>
      <c r="E63" s="10"/>
      <c r="F63" s="11"/>
      <c r="G63" s="12"/>
      <c r="H63" s="14"/>
    </row>
    <row r="64" spans="1:8" x14ac:dyDescent="0.3">
      <c r="A64" s="8"/>
      <c r="B64" s="13"/>
      <c r="C64" s="8"/>
      <c r="D64" s="9"/>
      <c r="E64" s="10"/>
      <c r="F64" s="11"/>
      <c r="G64" s="12"/>
      <c r="H64" s="14"/>
    </row>
    <row r="65" spans="1:8" x14ac:dyDescent="0.3">
      <c r="A65" s="8"/>
      <c r="B65" s="13"/>
      <c r="C65" s="8"/>
      <c r="D65" s="9"/>
      <c r="E65" s="10"/>
      <c r="F65" s="11"/>
      <c r="G65" s="12"/>
      <c r="H65" s="14"/>
    </row>
    <row r="66" spans="1:8" x14ac:dyDescent="0.3">
      <c r="A66" s="8"/>
      <c r="B66" s="13"/>
      <c r="C66" s="8"/>
      <c r="D66" s="9"/>
      <c r="E66" s="10"/>
      <c r="F66" s="11"/>
      <c r="G66" s="12"/>
      <c r="H66" s="14"/>
    </row>
    <row r="67" spans="1:8" x14ac:dyDescent="0.3">
      <c r="A67" s="8"/>
      <c r="B67" s="13"/>
      <c r="C67" s="8"/>
      <c r="D67" s="9"/>
      <c r="E67" s="10"/>
      <c r="F67" s="11"/>
      <c r="G67" s="12"/>
      <c r="H67" s="14"/>
    </row>
    <row r="68" spans="1:8" x14ac:dyDescent="0.3">
      <c r="A68" s="8"/>
      <c r="B68" s="13"/>
      <c r="C68" s="8"/>
      <c r="D68" s="9"/>
      <c r="E68" s="10"/>
      <c r="F68" s="11"/>
      <c r="G68" s="12"/>
      <c r="H68" s="14"/>
    </row>
    <row r="69" spans="1:8" x14ac:dyDescent="0.3">
      <c r="A69" s="8"/>
      <c r="B69" s="13"/>
      <c r="C69" s="8"/>
      <c r="D69" s="9"/>
      <c r="E69" s="10"/>
      <c r="F69" s="11"/>
      <c r="G69" s="12"/>
      <c r="H69" s="14"/>
    </row>
    <row r="70" spans="1:8" x14ac:dyDescent="0.3">
      <c r="A70" s="8"/>
      <c r="B70" s="13"/>
      <c r="C70" s="8"/>
      <c r="D70" s="9"/>
      <c r="E70" s="10"/>
      <c r="F70" s="11"/>
      <c r="G70" s="12"/>
      <c r="H70" s="14"/>
    </row>
    <row r="71" spans="1:8" x14ac:dyDescent="0.3">
      <c r="A71" s="8"/>
      <c r="B71" s="13"/>
      <c r="C71" s="8"/>
      <c r="D71" s="9"/>
      <c r="E71" s="10"/>
      <c r="F71" s="11"/>
      <c r="G71" s="12"/>
      <c r="H71" s="14"/>
    </row>
    <row r="72" spans="1:8" x14ac:dyDescent="0.3">
      <c r="A72" s="8"/>
      <c r="B72" s="13"/>
      <c r="C72" s="8"/>
      <c r="D72" s="9"/>
      <c r="E72" s="10"/>
      <c r="F72" s="11"/>
      <c r="G72" s="12"/>
      <c r="H72" s="14"/>
    </row>
    <row r="73" spans="1:8" x14ac:dyDescent="0.3">
      <c r="A73" s="8"/>
      <c r="B73" s="13"/>
      <c r="C73" s="8"/>
      <c r="D73" s="9"/>
      <c r="E73" s="10"/>
      <c r="F73" s="11"/>
      <c r="G73" s="12"/>
      <c r="H73" s="14"/>
    </row>
    <row r="74" spans="1:8" x14ac:dyDescent="0.3">
      <c r="A74" s="8"/>
      <c r="B74" s="13"/>
      <c r="C74" s="8"/>
      <c r="D74" s="9"/>
      <c r="E74" s="10"/>
      <c r="F74" s="11"/>
      <c r="G74" s="12"/>
      <c r="H74" s="14"/>
    </row>
    <row r="75" spans="1:8" x14ac:dyDescent="0.3">
      <c r="A75" s="8"/>
      <c r="B75" s="13"/>
      <c r="C75" s="8"/>
      <c r="D75" s="9"/>
      <c r="E75" s="10"/>
      <c r="F75" s="11"/>
      <c r="G75" s="12"/>
      <c r="H75" s="14"/>
    </row>
    <row r="76" spans="1:8" x14ac:dyDescent="0.3">
      <c r="A76" s="8"/>
      <c r="B76" s="13"/>
      <c r="C76" s="8"/>
      <c r="D76" s="9"/>
      <c r="E76" s="10"/>
      <c r="F76" s="11"/>
      <c r="G76" s="12"/>
      <c r="H76" s="14"/>
    </row>
    <row r="77" spans="1:8" x14ac:dyDescent="0.3">
      <c r="A77" s="8"/>
      <c r="B77" s="13"/>
      <c r="C77" s="8"/>
      <c r="D77" s="9"/>
      <c r="E77" s="10"/>
      <c r="F77" s="11"/>
      <c r="G77" s="12"/>
      <c r="H77" s="14"/>
    </row>
    <row r="78" spans="1:8" x14ac:dyDescent="0.3">
      <c r="A78" s="8"/>
      <c r="B78" s="13"/>
      <c r="C78" s="8"/>
      <c r="D78" s="9"/>
      <c r="E78" s="10"/>
      <c r="F78" s="11"/>
      <c r="G78" s="12"/>
      <c r="H78" s="14"/>
    </row>
    <row r="79" spans="1:8" x14ac:dyDescent="0.3">
      <c r="A79" s="8"/>
      <c r="B79" s="13"/>
      <c r="C79" s="8"/>
      <c r="D79" s="9"/>
      <c r="E79" s="10"/>
      <c r="F79" s="11"/>
      <c r="G79" s="12"/>
      <c r="H79" s="14"/>
    </row>
    <row r="80" spans="1:8" x14ac:dyDescent="0.3">
      <c r="A80" s="8"/>
      <c r="B80" s="13"/>
      <c r="C80" s="8"/>
      <c r="D80" s="9"/>
      <c r="E80" s="10"/>
      <c r="F80" s="11"/>
      <c r="G80" s="12"/>
      <c r="H80" s="14"/>
    </row>
    <row r="81" spans="1:8" x14ac:dyDescent="0.3">
      <c r="A81" s="8"/>
      <c r="B81" s="13"/>
      <c r="C81" s="8"/>
      <c r="D81" s="9"/>
      <c r="E81" s="10"/>
      <c r="F81" s="11"/>
      <c r="G81" s="12"/>
      <c r="H81" s="14"/>
    </row>
    <row r="82" spans="1:8" x14ac:dyDescent="0.3">
      <c r="A82" s="8"/>
      <c r="B82" s="13"/>
      <c r="C82" s="8"/>
      <c r="D82" s="9"/>
      <c r="E82" s="10"/>
      <c r="F82" s="11"/>
      <c r="G82" s="12"/>
      <c r="H82" s="14"/>
    </row>
    <row r="83" spans="1:8" x14ac:dyDescent="0.3">
      <c r="A83" s="8"/>
      <c r="B83" s="13"/>
      <c r="C83" s="8"/>
      <c r="D83" s="9"/>
      <c r="E83" s="10"/>
      <c r="F83" s="11"/>
      <c r="G83" s="12"/>
      <c r="H83" s="14"/>
    </row>
    <row r="84" spans="1:8" x14ac:dyDescent="0.3">
      <c r="A84" s="8"/>
      <c r="B84" s="13"/>
      <c r="C84" s="8"/>
      <c r="D84" s="9"/>
      <c r="E84" s="10"/>
      <c r="F84" s="11"/>
      <c r="G84" s="12"/>
      <c r="H84" s="14"/>
    </row>
    <row r="85" spans="1:8" x14ac:dyDescent="0.3">
      <c r="A85" s="8"/>
      <c r="B85" s="13"/>
      <c r="C85" s="8"/>
      <c r="D85" s="9"/>
      <c r="E85" s="10"/>
      <c r="F85" s="11"/>
      <c r="G85" s="12"/>
      <c r="H85" s="14"/>
    </row>
    <row r="86" spans="1:8" x14ac:dyDescent="0.3">
      <c r="A86" s="8"/>
      <c r="B86" s="13"/>
      <c r="C86" s="8"/>
      <c r="D86" s="9"/>
      <c r="E86" s="10"/>
      <c r="F86" s="11"/>
      <c r="G86" s="12"/>
      <c r="H86" s="14"/>
    </row>
    <row r="87" spans="1:8" x14ac:dyDescent="0.3">
      <c r="A87" s="8"/>
      <c r="B87" s="13"/>
      <c r="C87" s="8"/>
      <c r="D87" s="9"/>
      <c r="E87" s="10"/>
      <c r="F87" s="11"/>
      <c r="G87" s="12"/>
      <c r="H87" s="14"/>
    </row>
    <row r="88" spans="1:8" x14ac:dyDescent="0.3">
      <c r="A88" s="8"/>
      <c r="B88" s="13"/>
      <c r="C88" s="8"/>
      <c r="D88" s="9"/>
      <c r="E88" s="10"/>
      <c r="F88" s="11"/>
      <c r="G88" s="12"/>
      <c r="H88" s="14"/>
    </row>
    <row r="89" spans="1:8" x14ac:dyDescent="0.3">
      <c r="A89" s="8"/>
      <c r="B89" s="13"/>
      <c r="C89" s="8"/>
      <c r="D89" s="9"/>
      <c r="E89" s="10"/>
      <c r="F89" s="11"/>
      <c r="G89" s="12"/>
      <c r="H89" s="14"/>
    </row>
    <row r="90" spans="1:8" x14ac:dyDescent="0.3">
      <c r="A90" s="8"/>
      <c r="B90" s="13"/>
      <c r="C90" s="8"/>
      <c r="D90" s="9"/>
      <c r="E90" s="10"/>
      <c r="F90" s="11"/>
      <c r="G90" s="12"/>
      <c r="H90" s="14"/>
    </row>
    <row r="91" spans="1:8" x14ac:dyDescent="0.3">
      <c r="A91" s="8"/>
      <c r="B91" s="13"/>
      <c r="C91" s="8"/>
      <c r="D91" s="9"/>
      <c r="E91" s="10"/>
      <c r="F91" s="11"/>
      <c r="G91" s="12"/>
      <c r="H91" s="14"/>
    </row>
    <row r="92" spans="1:8" x14ac:dyDescent="0.3">
      <c r="A92" s="8"/>
      <c r="B92" s="13"/>
      <c r="C92" s="8"/>
      <c r="D92" s="9"/>
      <c r="E92" s="10"/>
      <c r="F92" s="11"/>
      <c r="G92" s="12"/>
      <c r="H92" s="14"/>
    </row>
    <row r="93" spans="1:8" x14ac:dyDescent="0.3">
      <c r="A93" s="8"/>
      <c r="B93" s="13"/>
      <c r="C93" s="8"/>
      <c r="D93" s="9"/>
      <c r="E93" s="10"/>
      <c r="F93" s="11"/>
      <c r="G93" s="12"/>
      <c r="H93" s="14"/>
    </row>
    <row r="94" spans="1:8" x14ac:dyDescent="0.3">
      <c r="A94" s="8"/>
      <c r="B94" s="13"/>
      <c r="C94" s="8"/>
      <c r="D94" s="9"/>
      <c r="E94" s="10"/>
      <c r="F94" s="11"/>
      <c r="G94" s="12"/>
      <c r="H94" s="14"/>
    </row>
    <row r="95" spans="1:8" x14ac:dyDescent="0.3">
      <c r="A95" s="8"/>
      <c r="B95" s="13"/>
      <c r="C95" s="8"/>
      <c r="D95" s="9"/>
      <c r="E95" s="10"/>
      <c r="F95" s="11"/>
      <c r="G95" s="12"/>
      <c r="H95" s="14"/>
    </row>
    <row r="96" spans="1:8" x14ac:dyDescent="0.3">
      <c r="A96" s="8"/>
      <c r="B96" s="13"/>
      <c r="C96" s="8"/>
      <c r="D96" s="9"/>
      <c r="E96" s="10"/>
      <c r="F96" s="11"/>
      <c r="G96" s="12"/>
      <c r="H96" s="14"/>
    </row>
    <row r="97" spans="1:8" x14ac:dyDescent="0.3">
      <c r="A97" s="8"/>
      <c r="B97" s="13"/>
      <c r="C97" s="8"/>
      <c r="D97" s="9"/>
      <c r="E97" s="10"/>
      <c r="F97" s="11"/>
      <c r="G97" s="12"/>
      <c r="H97" s="14"/>
    </row>
    <row r="98" spans="1:8" x14ac:dyDescent="0.3">
      <c r="A98" s="8"/>
      <c r="B98" s="13"/>
      <c r="C98" s="8"/>
      <c r="D98" s="9"/>
      <c r="E98" s="10"/>
      <c r="F98" s="11"/>
      <c r="G98" s="12"/>
      <c r="H98" s="14"/>
    </row>
    <row r="99" spans="1:8" x14ac:dyDescent="0.3">
      <c r="A99" s="8"/>
      <c r="B99" s="13"/>
      <c r="C99" s="8"/>
      <c r="D99" s="9"/>
      <c r="E99" s="10"/>
      <c r="F99" s="11"/>
      <c r="G99" s="12"/>
      <c r="H99" s="14"/>
    </row>
    <row r="100" spans="1:8" x14ac:dyDescent="0.3">
      <c r="A100" s="8"/>
      <c r="B100" s="13"/>
      <c r="C100" s="8"/>
      <c r="D100" s="9"/>
      <c r="E100" s="10"/>
      <c r="F100" s="11"/>
      <c r="G100" s="12"/>
      <c r="H100" s="14"/>
    </row>
    <row r="101" spans="1:8" x14ac:dyDescent="0.3">
      <c r="A101" s="8"/>
      <c r="B101" s="13"/>
      <c r="C101" s="8"/>
      <c r="D101" s="9"/>
      <c r="E101" s="10"/>
      <c r="F101" s="11"/>
      <c r="G101" s="12"/>
      <c r="H101" s="14"/>
    </row>
    <row r="102" spans="1:8" x14ac:dyDescent="0.3">
      <c r="A102" s="8"/>
      <c r="B102" s="13"/>
      <c r="C102" s="8"/>
      <c r="D102" s="9"/>
      <c r="E102" s="10"/>
      <c r="F102" s="11"/>
      <c r="G102" s="12"/>
      <c r="H102" s="14"/>
    </row>
    <row r="103" spans="1:8" x14ac:dyDescent="0.3">
      <c r="A103" s="8"/>
      <c r="B103" s="13"/>
      <c r="C103" s="8"/>
      <c r="D103" s="9"/>
      <c r="E103" s="10"/>
      <c r="F103" s="11"/>
      <c r="G103" s="12"/>
      <c r="H103" s="14"/>
    </row>
    <row r="104" spans="1:8" x14ac:dyDescent="0.3">
      <c r="A104" s="8"/>
      <c r="B104" s="13"/>
      <c r="C104" s="8"/>
      <c r="D104" s="9"/>
      <c r="E104" s="10"/>
      <c r="F104" s="11"/>
      <c r="G104" s="12"/>
      <c r="H104" s="14"/>
    </row>
    <row r="105" spans="1:8" x14ac:dyDescent="0.3">
      <c r="A105" s="8"/>
      <c r="B105" s="13"/>
      <c r="C105" s="8"/>
      <c r="D105" s="9"/>
      <c r="E105" s="10"/>
      <c r="F105" s="11"/>
      <c r="G105" s="12"/>
      <c r="H105" s="14"/>
    </row>
    <row r="106" spans="1:8" x14ac:dyDescent="0.3">
      <c r="A106" s="8"/>
      <c r="B106" s="13"/>
      <c r="C106" s="8"/>
      <c r="D106" s="9"/>
      <c r="E106" s="10"/>
      <c r="F106" s="11"/>
      <c r="G106" s="12"/>
      <c r="H106" s="14"/>
    </row>
    <row r="107" spans="1:8" x14ac:dyDescent="0.3">
      <c r="A107" s="8"/>
      <c r="B107" s="13"/>
      <c r="C107" s="8"/>
      <c r="D107" s="9"/>
      <c r="E107" s="10"/>
      <c r="F107" s="11"/>
      <c r="G107" s="12"/>
      <c r="H107" s="14"/>
    </row>
    <row r="108" spans="1:8" x14ac:dyDescent="0.3">
      <c r="A108" s="8"/>
      <c r="B108" s="13"/>
      <c r="C108" s="8"/>
      <c r="D108" s="9"/>
      <c r="E108" s="10"/>
      <c r="F108" s="11"/>
      <c r="G108" s="12"/>
      <c r="H108" s="14"/>
    </row>
    <row r="109" spans="1:8" x14ac:dyDescent="0.3">
      <c r="A109" s="8"/>
      <c r="B109" s="13"/>
      <c r="C109" s="8"/>
      <c r="D109" s="9"/>
      <c r="E109" s="10"/>
      <c r="F109" s="11"/>
      <c r="G109" s="12"/>
      <c r="H109" s="14"/>
    </row>
    <row r="110" spans="1:8" x14ac:dyDescent="0.3">
      <c r="A110" s="8"/>
      <c r="B110" s="13"/>
      <c r="C110" s="8"/>
      <c r="D110" s="9"/>
      <c r="E110" s="10"/>
      <c r="F110" s="11"/>
      <c r="G110" s="12"/>
      <c r="H110" s="14"/>
    </row>
    <row r="111" spans="1:8" x14ac:dyDescent="0.3">
      <c r="A111" s="8"/>
      <c r="B111" s="13"/>
      <c r="C111" s="8"/>
      <c r="D111" s="9"/>
      <c r="E111" s="10"/>
      <c r="F111" s="11"/>
      <c r="G111" s="12"/>
      <c r="H111" s="14"/>
    </row>
    <row r="112" spans="1:8" x14ac:dyDescent="0.3">
      <c r="A112" s="8"/>
      <c r="B112" s="13"/>
      <c r="C112" s="8"/>
      <c r="D112" s="9"/>
      <c r="E112" s="10"/>
      <c r="F112" s="11"/>
      <c r="G112" s="12"/>
      <c r="H112" s="14"/>
    </row>
    <row r="113" spans="1:8" x14ac:dyDescent="0.3">
      <c r="A113" s="8"/>
      <c r="B113" s="13"/>
      <c r="C113" s="8"/>
      <c r="D113" s="9"/>
      <c r="E113" s="10"/>
      <c r="F113" s="11"/>
      <c r="G113" s="12"/>
      <c r="H113" s="14"/>
    </row>
    <row r="114" spans="1:8" x14ac:dyDescent="0.3">
      <c r="A114" s="8"/>
      <c r="B114" s="13"/>
      <c r="C114" s="8"/>
      <c r="D114" s="9"/>
      <c r="E114" s="10"/>
      <c r="F114" s="11"/>
      <c r="G114" s="12"/>
      <c r="H114" s="14"/>
    </row>
    <row r="115" spans="1:8" x14ac:dyDescent="0.3">
      <c r="A115" s="8"/>
      <c r="B115" s="13"/>
      <c r="C115" s="8"/>
      <c r="D115" s="9"/>
      <c r="E115" s="10"/>
      <c r="F115" s="11"/>
      <c r="G115" s="12"/>
      <c r="H115" s="14"/>
    </row>
    <row r="116" spans="1:8" x14ac:dyDescent="0.3">
      <c r="A116" s="8"/>
      <c r="B116" s="13"/>
      <c r="C116" s="8"/>
      <c r="D116" s="9"/>
      <c r="E116" s="10"/>
      <c r="F116" s="11"/>
      <c r="G116" s="12"/>
      <c r="H116" s="14"/>
    </row>
    <row r="117" spans="1:8" x14ac:dyDescent="0.3">
      <c r="A117" s="8"/>
      <c r="B117" s="13"/>
      <c r="C117" s="8"/>
      <c r="D117" s="9"/>
      <c r="E117" s="10"/>
      <c r="F117" s="11"/>
      <c r="G117" s="12"/>
      <c r="H117" s="14"/>
    </row>
    <row r="118" spans="1:8" x14ac:dyDescent="0.3">
      <c r="A118" s="8"/>
      <c r="B118" s="13"/>
      <c r="C118" s="8"/>
      <c r="D118" s="9"/>
      <c r="E118" s="10"/>
      <c r="F118" s="11"/>
      <c r="G118" s="12"/>
      <c r="H118" s="14"/>
    </row>
    <row r="119" spans="1:8" x14ac:dyDescent="0.3">
      <c r="A119" s="8"/>
      <c r="B119" s="13"/>
      <c r="C119" s="8"/>
      <c r="D119" s="9"/>
      <c r="E119" s="10"/>
      <c r="F119" s="11"/>
      <c r="G119" s="12"/>
      <c r="H119" s="14"/>
    </row>
    <row r="120" spans="1:8" x14ac:dyDescent="0.3">
      <c r="A120" s="8"/>
      <c r="B120" s="13"/>
      <c r="C120" s="8"/>
      <c r="D120" s="9"/>
      <c r="E120" s="10"/>
      <c r="F120" s="11"/>
      <c r="G120" s="12"/>
      <c r="H120" s="14"/>
    </row>
    <row r="121" spans="1:8" x14ac:dyDescent="0.3">
      <c r="A121" s="8"/>
      <c r="B121" s="13"/>
      <c r="C121" s="8"/>
      <c r="D121" s="9"/>
      <c r="E121" s="10"/>
      <c r="F121" s="11"/>
      <c r="G121" s="12"/>
      <c r="H121" s="14"/>
    </row>
    <row r="122" spans="1:8" x14ac:dyDescent="0.3">
      <c r="A122" s="8"/>
      <c r="B122" s="13"/>
      <c r="C122" s="8"/>
      <c r="D122" s="9"/>
      <c r="E122" s="10"/>
      <c r="F122" s="11"/>
      <c r="G122" s="12"/>
      <c r="H122" s="14"/>
    </row>
    <row r="123" spans="1:8" x14ac:dyDescent="0.3">
      <c r="A123" s="8"/>
      <c r="B123" s="13"/>
      <c r="C123" s="8"/>
      <c r="D123" s="9"/>
      <c r="E123" s="10"/>
      <c r="F123" s="11"/>
      <c r="G123" s="12"/>
      <c r="H123" s="14"/>
    </row>
    <row r="124" spans="1:8" x14ac:dyDescent="0.3">
      <c r="A124" s="8"/>
      <c r="B124" s="13"/>
      <c r="C124" s="8"/>
      <c r="D124" s="9"/>
      <c r="E124" s="10"/>
      <c r="F124" s="11"/>
      <c r="G124" s="12"/>
      <c r="H124" s="14"/>
    </row>
    <row r="125" spans="1:8" x14ac:dyDescent="0.3">
      <c r="A125" s="8"/>
      <c r="B125" s="13"/>
      <c r="C125" s="8"/>
      <c r="D125" s="9"/>
      <c r="E125" s="10"/>
      <c r="F125" s="11"/>
      <c r="G125" s="12"/>
      <c r="H125" s="14"/>
    </row>
    <row r="126" spans="1:8" x14ac:dyDescent="0.3">
      <c r="A126" s="8"/>
      <c r="B126" s="13"/>
      <c r="C126" s="8"/>
      <c r="D126" s="9"/>
      <c r="E126" s="10"/>
      <c r="F126" s="11"/>
      <c r="G126" s="12"/>
      <c r="H126" s="14"/>
    </row>
    <row r="127" spans="1:8" x14ac:dyDescent="0.3">
      <c r="A127" s="8"/>
      <c r="B127" s="13"/>
      <c r="C127" s="8"/>
      <c r="D127" s="9"/>
      <c r="E127" s="10"/>
      <c r="F127" s="11"/>
      <c r="G127" s="12"/>
      <c r="H127" s="14"/>
    </row>
    <row r="128" spans="1:8" x14ac:dyDescent="0.3">
      <c r="A128" s="8"/>
      <c r="B128" s="13"/>
      <c r="C128" s="8"/>
      <c r="D128" s="9"/>
      <c r="E128" s="10"/>
      <c r="F128" s="11"/>
      <c r="G128" s="12"/>
      <c r="H128" s="14"/>
    </row>
    <row r="129" spans="1:8" x14ac:dyDescent="0.3">
      <c r="A129" s="8"/>
      <c r="B129" s="13"/>
      <c r="C129" s="8"/>
      <c r="D129" s="9"/>
      <c r="E129" s="10"/>
      <c r="F129" s="11"/>
      <c r="G129" s="12"/>
      <c r="H129" s="14"/>
    </row>
    <row r="130" spans="1:8" x14ac:dyDescent="0.3">
      <c r="A130" s="8"/>
      <c r="B130" s="13"/>
      <c r="C130" s="8"/>
      <c r="D130" s="9"/>
      <c r="E130" s="10"/>
      <c r="F130" s="11"/>
      <c r="G130" s="12"/>
      <c r="H130" s="14"/>
    </row>
    <row r="131" spans="1:8" x14ac:dyDescent="0.3">
      <c r="A131" s="8"/>
      <c r="B131" s="13"/>
      <c r="C131" s="8"/>
      <c r="D131" s="9"/>
      <c r="E131" s="10"/>
      <c r="F131" s="11"/>
      <c r="G131" s="12"/>
      <c r="H131" s="14"/>
    </row>
    <row r="132" spans="1:8" x14ac:dyDescent="0.3">
      <c r="A132" s="8"/>
      <c r="B132" s="13"/>
      <c r="C132" s="8"/>
      <c r="D132" s="9"/>
      <c r="E132" s="10"/>
      <c r="F132" s="11"/>
      <c r="G132" s="12"/>
      <c r="H132" s="14"/>
    </row>
    <row r="133" spans="1:8" x14ac:dyDescent="0.3">
      <c r="A133" s="8"/>
      <c r="B133" s="13"/>
      <c r="C133" s="8"/>
      <c r="D133" s="9"/>
      <c r="E133" s="10"/>
      <c r="F133" s="11"/>
      <c r="G133" s="12"/>
      <c r="H133" s="14"/>
    </row>
    <row r="134" spans="1:8" x14ac:dyDescent="0.3">
      <c r="A134" s="8"/>
      <c r="B134" s="13"/>
      <c r="C134" s="8"/>
      <c r="D134" s="9"/>
      <c r="E134" s="10"/>
      <c r="F134" s="11"/>
      <c r="G134" s="12"/>
      <c r="H134" s="14"/>
    </row>
    <row r="135" spans="1:8" x14ac:dyDescent="0.3">
      <c r="A135" s="8"/>
      <c r="B135" s="13"/>
      <c r="C135" s="8"/>
      <c r="D135" s="9"/>
      <c r="E135" s="10"/>
      <c r="F135" s="11"/>
      <c r="G135" s="12"/>
      <c r="H135" s="14"/>
    </row>
    <row r="136" spans="1:8" x14ac:dyDescent="0.3">
      <c r="A136" s="8"/>
      <c r="B136" s="13"/>
      <c r="C136" s="8"/>
      <c r="D136" s="9"/>
      <c r="E136" s="10"/>
      <c r="F136" s="11"/>
      <c r="G136" s="12"/>
      <c r="H136" s="14"/>
    </row>
    <row r="137" spans="1:8" x14ac:dyDescent="0.3">
      <c r="A137" s="8"/>
      <c r="B137" s="13"/>
      <c r="C137" s="8"/>
      <c r="D137" s="9"/>
      <c r="E137" s="10"/>
      <c r="F137" s="11"/>
      <c r="G137" s="12"/>
      <c r="H137" s="14"/>
    </row>
    <row r="138" spans="1:8" x14ac:dyDescent="0.3">
      <c r="A138" s="8"/>
      <c r="B138" s="13"/>
      <c r="C138" s="8"/>
      <c r="D138" s="9"/>
      <c r="E138" s="10"/>
      <c r="F138" s="11"/>
      <c r="G138" s="12"/>
      <c r="H138" s="14"/>
    </row>
    <row r="139" spans="1:8" x14ac:dyDescent="0.3">
      <c r="A139" s="8"/>
      <c r="B139" s="13"/>
      <c r="C139" s="8"/>
      <c r="D139" s="9"/>
      <c r="E139" s="10"/>
      <c r="F139" s="11"/>
      <c r="G139" s="12"/>
      <c r="H139" s="14"/>
    </row>
    <row r="140" spans="1:8" x14ac:dyDescent="0.3">
      <c r="A140" s="8"/>
      <c r="B140" s="13"/>
      <c r="C140" s="8"/>
      <c r="D140" s="9"/>
      <c r="E140" s="10"/>
      <c r="F140" s="11"/>
      <c r="G140" s="12"/>
      <c r="H140" s="14"/>
    </row>
    <row r="141" spans="1:8" x14ac:dyDescent="0.3">
      <c r="A141" s="8"/>
      <c r="B141" s="13"/>
      <c r="C141" s="8"/>
      <c r="D141" s="9"/>
      <c r="E141" s="10"/>
      <c r="F141" s="11"/>
      <c r="G141" s="12"/>
      <c r="H141" s="14"/>
    </row>
    <row r="142" spans="1:8" x14ac:dyDescent="0.3">
      <c r="A142" s="8"/>
      <c r="B142" s="13"/>
      <c r="C142" s="8"/>
      <c r="D142" s="9"/>
      <c r="E142" s="10"/>
      <c r="F142" s="11"/>
      <c r="G142" s="12"/>
      <c r="H142" s="14"/>
    </row>
    <row r="143" spans="1:8" x14ac:dyDescent="0.3">
      <c r="A143" s="8"/>
      <c r="B143" s="13"/>
      <c r="C143" s="8"/>
      <c r="D143" s="9"/>
      <c r="E143" s="10"/>
      <c r="F143" s="11"/>
      <c r="G143" s="12"/>
      <c r="H143" s="14"/>
    </row>
    <row r="144" spans="1:8" x14ac:dyDescent="0.3">
      <c r="A144" s="8"/>
      <c r="B144" s="13"/>
      <c r="C144" s="8"/>
      <c r="D144" s="9"/>
      <c r="E144" s="10"/>
      <c r="F144" s="11"/>
      <c r="G144" s="12"/>
      <c r="H144" s="14"/>
    </row>
    <row r="145" spans="1:8" x14ac:dyDescent="0.3">
      <c r="A145" s="8"/>
      <c r="B145" s="13"/>
      <c r="C145" s="8"/>
      <c r="D145" s="9"/>
      <c r="E145" s="10"/>
      <c r="F145" s="11"/>
      <c r="G145" s="12"/>
      <c r="H145" s="14"/>
    </row>
    <row r="146" spans="1:8" x14ac:dyDescent="0.3">
      <c r="A146" s="8"/>
      <c r="B146" s="13"/>
      <c r="C146" s="8"/>
      <c r="D146" s="9"/>
      <c r="E146" s="10"/>
      <c r="F146" s="11"/>
      <c r="G146" s="12"/>
      <c r="H146" s="14"/>
    </row>
    <row r="147" spans="1:8" x14ac:dyDescent="0.3">
      <c r="A147" s="8"/>
      <c r="B147" s="13"/>
      <c r="C147" s="8"/>
      <c r="D147" s="9"/>
      <c r="E147" s="10"/>
      <c r="F147" s="11"/>
      <c r="G147" s="12"/>
      <c r="H147" s="14"/>
    </row>
    <row r="148" spans="1:8" x14ac:dyDescent="0.3">
      <c r="A148" s="8"/>
      <c r="B148" s="13"/>
      <c r="C148" s="8"/>
      <c r="D148" s="9"/>
      <c r="E148" s="10"/>
      <c r="F148" s="11"/>
      <c r="G148" s="12"/>
      <c r="H148" s="14"/>
    </row>
    <row r="149" spans="1:8" x14ac:dyDescent="0.3">
      <c r="A149" s="8"/>
      <c r="B149" s="13"/>
      <c r="C149" s="8"/>
      <c r="D149" s="9"/>
      <c r="E149" s="10"/>
      <c r="F149" s="11"/>
      <c r="G149" s="12"/>
      <c r="H149" s="14"/>
    </row>
    <row r="150" spans="1:8" x14ac:dyDescent="0.3">
      <c r="A150" s="8"/>
      <c r="B150" s="13"/>
      <c r="C150" s="8"/>
      <c r="D150" s="9"/>
      <c r="E150" s="10"/>
      <c r="F150" s="11"/>
      <c r="G150" s="12"/>
      <c r="H150" s="14"/>
    </row>
    <row r="151" spans="1:8" x14ac:dyDescent="0.3">
      <c r="A151" s="8"/>
      <c r="B151" s="13"/>
      <c r="C151" s="8"/>
      <c r="D151" s="9"/>
      <c r="E151" s="10"/>
      <c r="F151" s="11"/>
      <c r="G151" s="12"/>
      <c r="H151" s="14"/>
    </row>
    <row r="152" spans="1:8" x14ac:dyDescent="0.3">
      <c r="A152" s="8"/>
      <c r="B152" s="13"/>
      <c r="C152" s="8"/>
      <c r="D152" s="9"/>
      <c r="E152" s="10"/>
      <c r="F152" s="11"/>
      <c r="G152" s="12"/>
      <c r="H152" s="14"/>
    </row>
    <row r="153" spans="1:8" x14ac:dyDescent="0.3">
      <c r="A153" s="8"/>
      <c r="B153" s="13"/>
      <c r="C153" s="8"/>
      <c r="D153" s="9"/>
      <c r="E153" s="10"/>
      <c r="F153" s="11"/>
      <c r="G153" s="12"/>
      <c r="H153" s="14"/>
    </row>
    <row r="154" spans="1:8" x14ac:dyDescent="0.3">
      <c r="A154" s="8"/>
      <c r="B154" s="13"/>
      <c r="C154" s="8"/>
      <c r="D154" s="9"/>
      <c r="E154" s="10"/>
      <c r="F154" s="11"/>
      <c r="G154" s="12"/>
      <c r="H154" s="14"/>
    </row>
    <row r="155" spans="1:8" x14ac:dyDescent="0.3">
      <c r="A155" s="8"/>
      <c r="B155" s="13"/>
      <c r="C155" s="8"/>
      <c r="D155" s="9"/>
      <c r="E155" s="10"/>
      <c r="F155" s="11"/>
      <c r="G155" s="12"/>
      <c r="H155" s="14"/>
    </row>
    <row r="156" spans="1:8" x14ac:dyDescent="0.3">
      <c r="A156" s="8"/>
      <c r="B156" s="13"/>
      <c r="C156" s="8"/>
      <c r="D156" s="9"/>
      <c r="E156" s="10"/>
      <c r="F156" s="11"/>
      <c r="G156" s="12"/>
      <c r="H156" s="14"/>
    </row>
    <row r="157" spans="1:8" x14ac:dyDescent="0.3">
      <c r="A157" s="8"/>
      <c r="B157" s="13"/>
      <c r="C157" s="8"/>
      <c r="D157" s="9"/>
      <c r="E157" s="10"/>
      <c r="F157" s="11"/>
      <c r="G157" s="12"/>
      <c r="H157" s="14"/>
    </row>
    <row r="158" spans="1:8" x14ac:dyDescent="0.3">
      <c r="A158" s="8"/>
      <c r="B158" s="13"/>
      <c r="C158" s="8"/>
      <c r="D158" s="9"/>
      <c r="E158" s="10"/>
      <c r="F158" s="11"/>
      <c r="G158" s="12"/>
      <c r="H158" s="14"/>
    </row>
    <row r="159" spans="1:8" x14ac:dyDescent="0.3">
      <c r="A159" s="8"/>
      <c r="B159" s="13"/>
      <c r="C159" s="8"/>
      <c r="D159" s="9"/>
      <c r="E159" s="10"/>
      <c r="F159" s="11"/>
      <c r="G159" s="12"/>
      <c r="H159" s="14"/>
    </row>
    <row r="160" spans="1:8" x14ac:dyDescent="0.3">
      <c r="A160" s="8"/>
      <c r="B160" s="13"/>
      <c r="C160" s="8"/>
      <c r="D160" s="9"/>
      <c r="E160" s="10"/>
      <c r="F160" s="11"/>
      <c r="G160" s="12"/>
      <c r="H160" s="14"/>
    </row>
    <row r="161" spans="1:8" x14ac:dyDescent="0.3">
      <c r="A161" s="8"/>
      <c r="B161" s="13"/>
      <c r="C161" s="8"/>
      <c r="D161" s="9"/>
      <c r="E161" s="10"/>
      <c r="F161" s="11"/>
      <c r="G161" s="12"/>
      <c r="H161" s="14"/>
    </row>
    <row r="162" spans="1:8" x14ac:dyDescent="0.3">
      <c r="A162" s="8"/>
      <c r="B162" s="13"/>
      <c r="C162" s="8"/>
      <c r="D162" s="9"/>
      <c r="E162" s="10"/>
      <c r="F162" s="11"/>
      <c r="G162" s="12"/>
      <c r="H162" s="14"/>
    </row>
    <row r="163" spans="1:8" x14ac:dyDescent="0.3">
      <c r="A163" s="8"/>
      <c r="B163" s="13"/>
      <c r="C163" s="8"/>
      <c r="D163" s="9"/>
      <c r="E163" s="10"/>
      <c r="F163" s="11"/>
      <c r="G163" s="12"/>
      <c r="H163" s="14"/>
    </row>
    <row r="164" spans="1:8" x14ac:dyDescent="0.3">
      <c r="A164" s="8"/>
      <c r="B164" s="13"/>
      <c r="C164" s="8"/>
      <c r="D164" s="9"/>
      <c r="E164" s="10"/>
      <c r="F164" s="11"/>
      <c r="G164" s="12"/>
      <c r="H164" s="14"/>
    </row>
    <row r="165" spans="1:8" x14ac:dyDescent="0.3">
      <c r="A165" s="8"/>
      <c r="B165" s="13"/>
      <c r="C165" s="8"/>
      <c r="D165" s="9"/>
      <c r="E165" s="10"/>
      <c r="F165" s="11"/>
      <c r="G165" s="12"/>
      <c r="H165" s="14"/>
    </row>
    <row r="166" spans="1:8" x14ac:dyDescent="0.3">
      <c r="A166" s="8"/>
      <c r="B166" s="13"/>
      <c r="C166" s="8"/>
      <c r="D166" s="9"/>
      <c r="E166" s="10"/>
      <c r="F166" s="11"/>
      <c r="G166" s="12"/>
      <c r="H166" s="14"/>
    </row>
    <row r="167" spans="1:8" x14ac:dyDescent="0.3">
      <c r="A167" s="8"/>
      <c r="B167" s="13"/>
      <c r="C167" s="8"/>
      <c r="D167" s="9"/>
      <c r="E167" s="10"/>
      <c r="F167" s="11"/>
      <c r="G167" s="12"/>
      <c r="H167" s="14"/>
    </row>
    <row r="168" spans="1:8" x14ac:dyDescent="0.3">
      <c r="A168" s="8"/>
      <c r="B168" s="13"/>
      <c r="C168" s="8"/>
      <c r="D168" s="9"/>
      <c r="E168" s="10"/>
      <c r="F168" s="11"/>
      <c r="G168" s="12"/>
      <c r="H168" s="14"/>
    </row>
    <row r="169" spans="1:8" x14ac:dyDescent="0.3">
      <c r="A169" s="8"/>
      <c r="B169" s="13"/>
      <c r="C169" s="8"/>
      <c r="D169" s="9"/>
      <c r="E169" s="10"/>
      <c r="F169" s="11"/>
      <c r="G169" s="12"/>
      <c r="H169" s="14"/>
    </row>
    <row r="170" spans="1:8" x14ac:dyDescent="0.3">
      <c r="A170" s="8"/>
      <c r="B170" s="13"/>
      <c r="C170" s="8"/>
      <c r="D170" s="9"/>
      <c r="E170" s="10"/>
      <c r="F170" s="11"/>
      <c r="G170" s="12"/>
      <c r="H170" s="14"/>
    </row>
    <row r="171" spans="1:8" x14ac:dyDescent="0.3">
      <c r="A171" s="8"/>
      <c r="B171" s="13"/>
      <c r="C171" s="8"/>
      <c r="D171" s="9"/>
      <c r="E171" s="10"/>
      <c r="F171" s="11"/>
      <c r="G171" s="12"/>
      <c r="H171" s="14"/>
    </row>
    <row r="172" spans="1:8" x14ac:dyDescent="0.3">
      <c r="A172" s="8"/>
      <c r="B172" s="13"/>
      <c r="C172" s="8"/>
      <c r="D172" s="9"/>
      <c r="E172" s="10"/>
      <c r="F172" s="11"/>
      <c r="G172" s="12"/>
      <c r="H172" s="14"/>
    </row>
    <row r="173" spans="1:8" x14ac:dyDescent="0.3">
      <c r="A173" s="8"/>
      <c r="B173" s="13"/>
      <c r="C173" s="8"/>
      <c r="D173" s="9"/>
      <c r="E173" s="10"/>
      <c r="F173" s="11"/>
      <c r="G173" s="12"/>
      <c r="H173" s="14"/>
    </row>
    <row r="174" spans="1:8" x14ac:dyDescent="0.3">
      <c r="A174" s="8"/>
      <c r="B174" s="13"/>
      <c r="C174" s="8"/>
      <c r="D174" s="9"/>
      <c r="E174" s="10"/>
      <c r="F174" s="11"/>
      <c r="G174" s="12"/>
      <c r="H174" s="14"/>
    </row>
    <row r="175" spans="1:8" x14ac:dyDescent="0.3">
      <c r="A175" s="8"/>
      <c r="B175" s="13"/>
      <c r="C175" s="8"/>
      <c r="D175" s="9"/>
      <c r="E175" s="10"/>
      <c r="F175" s="11"/>
      <c r="G175" s="12"/>
      <c r="H175" s="14"/>
    </row>
    <row r="176" spans="1:8" x14ac:dyDescent="0.3">
      <c r="A176" s="8"/>
      <c r="B176" s="13"/>
      <c r="C176" s="8"/>
      <c r="D176" s="9"/>
      <c r="E176" s="10"/>
      <c r="F176" s="11"/>
      <c r="G176" s="12"/>
      <c r="H176" s="14"/>
    </row>
    <row r="177" spans="1:8" x14ac:dyDescent="0.3">
      <c r="A177" s="8"/>
      <c r="B177" s="13"/>
      <c r="C177" s="8"/>
      <c r="D177" s="9"/>
      <c r="E177" s="10"/>
      <c r="F177" s="11"/>
      <c r="G177" s="12"/>
      <c r="H177" s="14"/>
    </row>
    <row r="178" spans="1:8" x14ac:dyDescent="0.3">
      <c r="A178" s="8"/>
      <c r="B178" s="13"/>
      <c r="C178" s="8"/>
      <c r="D178" s="9"/>
      <c r="E178" s="10"/>
      <c r="F178" s="11"/>
      <c r="G178" s="12"/>
      <c r="H178" s="14"/>
    </row>
    <row r="179" spans="1:8" x14ac:dyDescent="0.3">
      <c r="A179" s="8"/>
      <c r="B179" s="13"/>
      <c r="C179" s="8"/>
      <c r="D179" s="9"/>
      <c r="E179" s="10"/>
      <c r="F179" s="11"/>
      <c r="G179" s="12"/>
      <c r="H179" s="14"/>
    </row>
    <row r="180" spans="1:8" x14ac:dyDescent="0.3">
      <c r="A180" s="8"/>
      <c r="B180" s="13"/>
      <c r="C180" s="8"/>
      <c r="D180" s="9"/>
      <c r="E180" s="10"/>
      <c r="F180" s="11"/>
      <c r="G180" s="12"/>
      <c r="H180" s="14"/>
    </row>
    <row r="181" spans="1:8" x14ac:dyDescent="0.3">
      <c r="A181" s="8"/>
      <c r="B181" s="13"/>
      <c r="C181" s="8"/>
      <c r="D181" s="9"/>
      <c r="E181" s="10"/>
      <c r="F181" s="11"/>
      <c r="G181" s="12"/>
      <c r="H181" s="14"/>
    </row>
    <row r="182" spans="1:8" x14ac:dyDescent="0.3">
      <c r="A182" s="8"/>
      <c r="B182" s="13"/>
      <c r="C182" s="8"/>
      <c r="D182" s="9"/>
      <c r="E182" s="10"/>
      <c r="F182" s="11"/>
      <c r="G182" s="12"/>
      <c r="H182" s="14"/>
    </row>
    <row r="183" spans="1:8" x14ac:dyDescent="0.3">
      <c r="A183" s="8"/>
      <c r="B183" s="13"/>
      <c r="C183" s="8"/>
      <c r="D183" s="9"/>
      <c r="E183" s="10"/>
      <c r="F183" s="11"/>
      <c r="G183" s="12"/>
      <c r="H183" s="14"/>
    </row>
    <row r="184" spans="1:8" x14ac:dyDescent="0.3">
      <c r="A184" s="8"/>
      <c r="B184" s="13"/>
      <c r="C184" s="8"/>
      <c r="D184" s="9"/>
      <c r="E184" s="10"/>
      <c r="F184" s="11"/>
      <c r="G184" s="12"/>
      <c r="H184" s="14"/>
    </row>
    <row r="185" spans="1:8" x14ac:dyDescent="0.3">
      <c r="A185" s="8"/>
      <c r="B185" s="13"/>
      <c r="C185" s="8"/>
      <c r="D185" s="9"/>
      <c r="E185" s="10"/>
      <c r="F185" s="11"/>
      <c r="G185" s="12"/>
      <c r="H185" s="14"/>
    </row>
    <row r="186" spans="1:8" x14ac:dyDescent="0.3">
      <c r="A186" s="8"/>
      <c r="B186" s="13"/>
      <c r="C186" s="8"/>
      <c r="D186" s="9"/>
      <c r="E186" s="10"/>
      <c r="F186" s="11"/>
      <c r="G186" s="12"/>
      <c r="H186" s="14"/>
    </row>
    <row r="187" spans="1:8" x14ac:dyDescent="0.3">
      <c r="A187" s="8"/>
      <c r="B187" s="13"/>
      <c r="C187" s="8"/>
      <c r="D187" s="9"/>
      <c r="E187" s="10"/>
      <c r="F187" s="11"/>
      <c r="G187" s="12"/>
      <c r="H187" s="14"/>
    </row>
    <row r="188" spans="1:8" x14ac:dyDescent="0.3">
      <c r="A188" s="8"/>
      <c r="B188" s="13"/>
      <c r="C188" s="8"/>
      <c r="D188" s="9"/>
      <c r="E188" s="10"/>
      <c r="F188" s="11"/>
      <c r="G188" s="12"/>
      <c r="H188" s="14"/>
    </row>
    <row r="189" spans="1:8" x14ac:dyDescent="0.3">
      <c r="A189" s="8"/>
      <c r="B189" s="13"/>
      <c r="C189" s="8"/>
      <c r="D189" s="9"/>
      <c r="E189" s="10"/>
      <c r="F189" s="11"/>
      <c r="G189" s="12"/>
      <c r="H189" s="14"/>
    </row>
    <row r="190" spans="1:8" x14ac:dyDescent="0.3">
      <c r="A190" s="8"/>
      <c r="B190" s="13"/>
      <c r="C190" s="8"/>
      <c r="D190" s="9"/>
      <c r="E190" s="10"/>
      <c r="F190" s="11"/>
      <c r="G190" s="12"/>
      <c r="H190" s="14"/>
    </row>
    <row r="191" spans="1:8" x14ac:dyDescent="0.3">
      <c r="A191" s="8"/>
      <c r="B191" s="13"/>
      <c r="C191" s="8"/>
      <c r="D191" s="9"/>
      <c r="E191" s="10"/>
      <c r="F191" s="11"/>
      <c r="G191" s="12"/>
      <c r="H191" s="14"/>
    </row>
    <row r="192" spans="1:8" x14ac:dyDescent="0.3">
      <c r="A192" s="8"/>
      <c r="B192" s="13"/>
      <c r="C192" s="8"/>
      <c r="D192" s="9"/>
      <c r="E192" s="10"/>
      <c r="F192" s="11"/>
      <c r="G192" s="12"/>
      <c r="H192" s="14"/>
    </row>
    <row r="193" spans="1:8" x14ac:dyDescent="0.3">
      <c r="A193" s="8"/>
      <c r="B193" s="13"/>
      <c r="C193" s="8"/>
      <c r="D193" s="9"/>
      <c r="E193" s="10"/>
      <c r="F193" s="11"/>
      <c r="G193" s="12"/>
      <c r="H193" s="14"/>
    </row>
    <row r="194" spans="1:8" x14ac:dyDescent="0.3">
      <c r="A194" s="8"/>
      <c r="B194" s="13"/>
      <c r="C194" s="8"/>
      <c r="D194" s="9"/>
      <c r="E194" s="10"/>
      <c r="F194" s="11"/>
      <c r="G194" s="12"/>
      <c r="H194" s="14"/>
    </row>
    <row r="195" spans="1:8" x14ac:dyDescent="0.3">
      <c r="A195" s="8"/>
      <c r="B195" s="13"/>
      <c r="C195" s="8"/>
      <c r="D195" s="9"/>
      <c r="E195" s="10"/>
      <c r="F195" s="11"/>
      <c r="G195" s="12"/>
      <c r="H195" s="14"/>
    </row>
    <row r="196" spans="1:8" x14ac:dyDescent="0.3">
      <c r="A196" s="8"/>
      <c r="B196" s="13"/>
      <c r="C196" s="8"/>
      <c r="D196" s="9"/>
      <c r="E196" s="10"/>
      <c r="F196" s="11"/>
      <c r="G196" s="12"/>
      <c r="H196" s="14"/>
    </row>
    <row r="197" spans="1:8" x14ac:dyDescent="0.3">
      <c r="A197" s="8"/>
      <c r="B197" s="13"/>
      <c r="C197" s="8"/>
      <c r="D197" s="9"/>
      <c r="E197" s="10"/>
      <c r="F197" s="11"/>
      <c r="G197" s="12"/>
      <c r="H197" s="14"/>
    </row>
    <row r="198" spans="1:8" x14ac:dyDescent="0.3">
      <c r="A198" s="8"/>
      <c r="B198" s="13"/>
      <c r="C198" s="8"/>
      <c r="D198" s="9"/>
      <c r="E198" s="10"/>
      <c r="F198" s="11"/>
      <c r="G198" s="12"/>
      <c r="H198" s="14"/>
    </row>
    <row r="199" spans="1:8" x14ac:dyDescent="0.3">
      <c r="A199" s="8"/>
      <c r="B199" s="13"/>
      <c r="C199" s="8"/>
      <c r="D199" s="9"/>
      <c r="E199" s="10"/>
      <c r="F199" s="11"/>
      <c r="G199" s="12"/>
      <c r="H199" s="14"/>
    </row>
    <row r="200" spans="1:8" x14ac:dyDescent="0.3">
      <c r="A200" s="8"/>
      <c r="B200" s="13"/>
      <c r="C200" s="8"/>
      <c r="D200" s="9"/>
      <c r="E200" s="10"/>
      <c r="F200" s="11"/>
      <c r="G200" s="12"/>
      <c r="H200" s="14"/>
    </row>
    <row r="201" spans="1:8" x14ac:dyDescent="0.3">
      <c r="A201" s="8"/>
      <c r="B201" s="13"/>
      <c r="C201" s="8"/>
      <c r="D201" s="9"/>
      <c r="E201" s="10"/>
      <c r="F201" s="11"/>
      <c r="G201" s="12"/>
      <c r="H201" s="14"/>
    </row>
    <row r="202" spans="1:8" x14ac:dyDescent="0.3">
      <c r="A202" s="8"/>
      <c r="B202" s="13"/>
      <c r="C202" s="8"/>
      <c r="D202" s="9"/>
      <c r="E202" s="10"/>
      <c r="F202" s="11"/>
      <c r="G202" s="12"/>
      <c r="H202" s="14"/>
    </row>
    <row r="203" spans="1:8" x14ac:dyDescent="0.3">
      <c r="A203" s="8"/>
      <c r="B203" s="13"/>
      <c r="C203" s="8"/>
      <c r="D203" s="9"/>
      <c r="E203" s="10"/>
      <c r="F203" s="11"/>
      <c r="G203" s="12"/>
      <c r="H203" s="14"/>
    </row>
    <row r="204" spans="1:8" x14ac:dyDescent="0.3">
      <c r="A204" s="8"/>
      <c r="B204" s="13"/>
      <c r="C204" s="8"/>
      <c r="D204" s="9"/>
      <c r="E204" s="10"/>
      <c r="F204" s="11"/>
      <c r="G204" s="12"/>
      <c r="H204" s="14"/>
    </row>
    <row r="205" spans="1:8" x14ac:dyDescent="0.3">
      <c r="A205" s="8"/>
      <c r="B205" s="13"/>
      <c r="C205" s="8"/>
      <c r="D205" s="9"/>
      <c r="E205" s="10"/>
      <c r="F205" s="11"/>
      <c r="G205" s="12"/>
      <c r="H205" s="14"/>
    </row>
    <row r="206" spans="1:8" x14ac:dyDescent="0.3">
      <c r="A206" s="8"/>
      <c r="B206" s="13"/>
      <c r="C206" s="8"/>
      <c r="D206" s="9"/>
      <c r="E206" s="10"/>
      <c r="F206" s="11"/>
      <c r="G206" s="12"/>
      <c r="H206" s="14"/>
    </row>
    <row r="207" spans="1:8" x14ac:dyDescent="0.3">
      <c r="A207" s="8"/>
      <c r="B207" s="13"/>
      <c r="C207" s="8"/>
      <c r="D207" s="9"/>
      <c r="E207" s="10"/>
      <c r="F207" s="11"/>
      <c r="G207" s="12"/>
      <c r="H207" s="14"/>
    </row>
    <row r="208" spans="1:8" x14ac:dyDescent="0.3">
      <c r="A208" s="8"/>
      <c r="B208" s="13"/>
      <c r="C208" s="8"/>
      <c r="D208" s="9"/>
      <c r="E208" s="10"/>
      <c r="F208" s="11"/>
      <c r="G208" s="12"/>
      <c r="H208" s="14"/>
    </row>
    <row r="209" spans="1:8" x14ac:dyDescent="0.3">
      <c r="A209" s="8"/>
      <c r="B209" s="13"/>
      <c r="C209" s="8"/>
      <c r="D209" s="9"/>
      <c r="E209" s="10"/>
      <c r="F209" s="11"/>
      <c r="G209" s="12"/>
      <c r="H209" s="14"/>
    </row>
  </sheetData>
  <mergeCells count="11">
    <mergeCell ref="A6:B7"/>
    <mergeCell ref="C6:D7"/>
    <mergeCell ref="E6:F7"/>
    <mergeCell ref="G6:H7"/>
    <mergeCell ref="A8:H8"/>
    <mergeCell ref="A1:H1"/>
    <mergeCell ref="B3:H3"/>
    <mergeCell ref="A5:B5"/>
    <mergeCell ref="C5:D5"/>
    <mergeCell ref="E5:F5"/>
    <mergeCell ref="G5:H5"/>
  </mergeCells>
  <conditionalFormatting sqref="E10:E209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209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decimal" allowBlank="1" showInputMessage="1" showErrorMessage="1" errorTitle="Giá trị không hợp lệ" error="Nhập điểm từ 0 đến 10." sqref="F10:F209" xr:uid="{4FFC3672-1EB2-43A1-AFAF-F414EAD115BB}">
      <formula1>0</formula1>
      <formula2>10</formula2>
    </dataValidation>
    <dataValidation type="decimal" allowBlank="1" showInputMessage="1" showErrorMessage="1" errorTitle="Giá trị không hợp lệ" error="Nhập phần trăm từ 0% đến 100%." sqref="E10:E209" xr:uid="{152B0029-86D4-4394-A891-9E4A0DF4C795}">
      <formula1>0</formula1>
      <formula2>1</formula2>
    </dataValidation>
    <dataValidation type="list" allowBlank="1" showInputMessage="1" showErrorMessage="1" errorTitle="Trạng thái không hợp lệ" error="Chọn một trạng thái trong danh sách." sqref="D10:D209" xr:uid="{8C5047E4-D13D-42CC-8AF9-C1AE8F884161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</dataValidations>
  <hyperlinks>
    <hyperlink ref="B3" r:id="rId1" display="06 - Ngôn ngữ/01 - Tiếng Anh/english-pronunciation-course.zip" xr:uid="{129255A2-443B-4E35-9D11-0565F963A8DD}"/>
  </hyperlinks>
  <pageMargins left="0.7" right="0.7" top="0.75" bottom="0.75" header="0.3" footer="0.3"/>
  <tableParts count="1">
    <tablePart r:id="rId2"/>
  </tablePart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E92B1-B45F-4176-850E-74C80F656C9F}">
  <dimension ref="A1:H209"/>
  <sheetViews>
    <sheetView workbookViewId="0"/>
  </sheetViews>
  <sheetFormatPr defaultRowHeight="14.4" x14ac:dyDescent="0.3"/>
  <cols>
    <col min="2" max="2" width="9" customWidth="1"/>
    <col min="4" max="4" width="10.88671875" customWidth="1"/>
    <col min="5" max="5" width="12" customWidth="1"/>
    <col min="6" max="6" width="10.33203125" customWidth="1"/>
    <col min="7" max="7" width="16.33203125" customWidth="1"/>
    <col min="8" max="8" width="9.109375" customWidth="1"/>
  </cols>
  <sheetData>
    <row r="1" spans="1:8" ht="23.4" x14ac:dyDescent="0.3">
      <c r="A1" s="55" t="s">
        <v>1431</v>
      </c>
      <c r="B1" s="55"/>
      <c r="C1" s="55"/>
      <c r="D1" s="55"/>
      <c r="E1" s="55"/>
      <c r="F1" s="55"/>
      <c r="G1" s="55"/>
      <c r="H1" s="55"/>
    </row>
    <row r="2" spans="1:8" x14ac:dyDescent="0.3">
      <c r="A2" s="6" t="s">
        <v>23</v>
      </c>
      <c r="B2" s="5" t="s">
        <v>1432</v>
      </c>
      <c r="C2" s="6" t="s">
        <v>25</v>
      </c>
      <c r="D2" s="5" t="s">
        <v>670</v>
      </c>
      <c r="E2" s="6" t="s">
        <v>26</v>
      </c>
      <c r="F2" s="5" t="s">
        <v>671</v>
      </c>
      <c r="G2" s="5"/>
      <c r="H2" s="5"/>
    </row>
    <row r="3" spans="1:8" x14ac:dyDescent="0.3">
      <c r="A3" s="6" t="s">
        <v>27</v>
      </c>
      <c r="B3" s="56" t="s">
        <v>1433</v>
      </c>
      <c r="C3" s="57"/>
      <c r="D3" s="57"/>
      <c r="E3" s="57"/>
      <c r="F3" s="57"/>
      <c r="G3" s="57"/>
      <c r="H3" s="57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>COUNTA(B10:B18)</f>
        <v>9</v>
      </c>
      <c r="B6" s="59"/>
      <c r="C6" s="60">
        <f>COUNTIF(D10:D18,"Đã hoàn thành")</f>
        <v>0</v>
      </c>
      <c r="D6" s="60"/>
      <c r="E6" s="61">
        <f>IFERROR(AVERAGE(E10:E18),0)</f>
        <v>0</v>
      </c>
      <c r="F6" s="61"/>
      <c r="G6" s="62" t="str">
        <f>IFERROR(AVERAGE(F10:F18),"")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33</v>
      </c>
      <c r="B8" s="64"/>
      <c r="C8" s="64"/>
      <c r="D8" s="64"/>
      <c r="E8" s="64"/>
      <c r="F8" s="64"/>
      <c r="G8" s="64"/>
      <c r="H8" s="64"/>
    </row>
    <row r="9" spans="1:8" ht="43.2" x14ac:dyDescent="0.3">
      <c r="A9" s="7" t="s">
        <v>34</v>
      </c>
      <c r="B9" s="7" t="s">
        <v>35</v>
      </c>
      <c r="C9" s="7" t="s">
        <v>36</v>
      </c>
      <c r="D9" s="7" t="s">
        <v>10</v>
      </c>
      <c r="E9" s="7" t="s">
        <v>37</v>
      </c>
      <c r="F9" s="7" t="s">
        <v>38</v>
      </c>
      <c r="G9" s="7" t="s">
        <v>39</v>
      </c>
      <c r="H9" s="7" t="s">
        <v>40</v>
      </c>
    </row>
    <row r="10" spans="1:8" ht="30" customHeight="1" x14ac:dyDescent="0.3">
      <c r="A10" s="8">
        <f>1</f>
        <v>1</v>
      </c>
      <c r="B10" s="13" t="s">
        <v>1434</v>
      </c>
      <c r="C10" s="8">
        <f>2</f>
        <v>2</v>
      </c>
      <c r="D10" s="43" t="s">
        <v>11</v>
      </c>
      <c r="E10" s="44">
        <f>0</f>
        <v>0</v>
      </c>
      <c r="F10" s="45"/>
      <c r="G10" s="46"/>
      <c r="H10" s="47"/>
    </row>
    <row r="11" spans="1:8" ht="30" customHeight="1" x14ac:dyDescent="0.3">
      <c r="A11" s="8">
        <f>2</f>
        <v>2</v>
      </c>
      <c r="B11" s="13" t="s">
        <v>1435</v>
      </c>
      <c r="C11" s="8">
        <f>1</f>
        <v>1</v>
      </c>
      <c r="D11" s="43" t="s">
        <v>11</v>
      </c>
      <c r="E11" s="44">
        <f>0</f>
        <v>0</v>
      </c>
      <c r="F11" s="45"/>
      <c r="G11" s="46"/>
      <c r="H11" s="47"/>
    </row>
    <row r="12" spans="1:8" ht="30" customHeight="1" x14ac:dyDescent="0.3">
      <c r="A12" s="8">
        <f>3</f>
        <v>3</v>
      </c>
      <c r="B12" s="13" t="s">
        <v>1436</v>
      </c>
      <c r="C12" s="8">
        <f>6</f>
        <v>6</v>
      </c>
      <c r="D12" s="43" t="s">
        <v>11</v>
      </c>
      <c r="E12" s="44">
        <f>0</f>
        <v>0</v>
      </c>
      <c r="F12" s="45"/>
      <c r="G12" s="46"/>
      <c r="H12" s="47"/>
    </row>
    <row r="13" spans="1:8" ht="30" customHeight="1" x14ac:dyDescent="0.3">
      <c r="A13" s="8">
        <f>4</f>
        <v>4</v>
      </c>
      <c r="B13" s="13" t="s">
        <v>1437</v>
      </c>
      <c r="C13" s="8">
        <f>4</f>
        <v>4</v>
      </c>
      <c r="D13" s="43" t="s">
        <v>11</v>
      </c>
      <c r="E13" s="44">
        <f>0</f>
        <v>0</v>
      </c>
      <c r="F13" s="45"/>
      <c r="G13" s="46"/>
      <c r="H13" s="47"/>
    </row>
    <row r="14" spans="1:8" ht="30" customHeight="1" x14ac:dyDescent="0.3">
      <c r="A14" s="8">
        <f>5</f>
        <v>5</v>
      </c>
      <c r="B14" s="13" t="s">
        <v>1438</v>
      </c>
      <c r="C14" s="8">
        <f>8</f>
        <v>8</v>
      </c>
      <c r="D14" s="43" t="s">
        <v>11</v>
      </c>
      <c r="E14" s="44">
        <f>0</f>
        <v>0</v>
      </c>
      <c r="F14" s="45"/>
      <c r="G14" s="46"/>
      <c r="H14" s="47"/>
    </row>
    <row r="15" spans="1:8" ht="30" customHeight="1" x14ac:dyDescent="0.3">
      <c r="A15" s="8">
        <f>6</f>
        <v>6</v>
      </c>
      <c r="B15" s="13" t="s">
        <v>1439</v>
      </c>
      <c r="C15" s="8">
        <f>3</f>
        <v>3</v>
      </c>
      <c r="D15" s="43" t="s">
        <v>11</v>
      </c>
      <c r="E15" s="44">
        <f>0</f>
        <v>0</v>
      </c>
      <c r="F15" s="45"/>
      <c r="G15" s="46"/>
      <c r="H15" s="47"/>
    </row>
    <row r="16" spans="1:8" ht="30" customHeight="1" x14ac:dyDescent="0.3">
      <c r="A16" s="8">
        <f>7</f>
        <v>7</v>
      </c>
      <c r="B16" s="13" t="s">
        <v>1440</v>
      </c>
      <c r="C16" s="8">
        <f>4</f>
        <v>4</v>
      </c>
      <c r="D16" s="43" t="s">
        <v>11</v>
      </c>
      <c r="E16" s="44">
        <f>0</f>
        <v>0</v>
      </c>
      <c r="F16" s="45"/>
      <c r="G16" s="46"/>
      <c r="H16" s="47"/>
    </row>
    <row r="17" spans="1:8" ht="30" customHeight="1" x14ac:dyDescent="0.3">
      <c r="A17" s="8">
        <f>8</f>
        <v>8</v>
      </c>
      <c r="B17" s="13" t="s">
        <v>1441</v>
      </c>
      <c r="C17" s="8">
        <f>2</f>
        <v>2</v>
      </c>
      <c r="D17" s="43" t="s">
        <v>11</v>
      </c>
      <c r="E17" s="44">
        <f>0</f>
        <v>0</v>
      </c>
      <c r="F17" s="45"/>
      <c r="G17" s="46"/>
      <c r="H17" s="47"/>
    </row>
    <row r="18" spans="1:8" ht="30" customHeight="1" x14ac:dyDescent="0.3">
      <c r="A18" s="48">
        <f>9</f>
        <v>9</v>
      </c>
      <c r="B18" s="49" t="s">
        <v>1442</v>
      </c>
      <c r="C18" s="48">
        <f>1</f>
        <v>1</v>
      </c>
      <c r="D18" s="50" t="s">
        <v>11</v>
      </c>
      <c r="E18" s="51">
        <f>0</f>
        <v>0</v>
      </c>
      <c r="F18" s="52"/>
      <c r="G18" s="53"/>
      <c r="H18" s="54"/>
    </row>
    <row r="19" spans="1:8" x14ac:dyDescent="0.3">
      <c r="A19" s="8"/>
      <c r="B19" s="13"/>
      <c r="C19" s="8"/>
      <c r="D19" s="9"/>
      <c r="E19" s="10"/>
      <c r="F19" s="11"/>
      <c r="G19" s="12"/>
      <c r="H19" s="14"/>
    </row>
    <row r="20" spans="1:8" x14ac:dyDescent="0.3">
      <c r="A20" s="8"/>
      <c r="B20" s="13"/>
      <c r="C20" s="8"/>
      <c r="D20" s="9"/>
      <c r="E20" s="10"/>
      <c r="F20" s="11"/>
      <c r="G20" s="12"/>
      <c r="H20" s="14"/>
    </row>
    <row r="21" spans="1:8" x14ac:dyDescent="0.3">
      <c r="A21" s="8"/>
      <c r="B21" s="13"/>
      <c r="C21" s="8"/>
      <c r="D21" s="9"/>
      <c r="E21" s="10"/>
      <c r="F21" s="11"/>
      <c r="G21" s="12"/>
      <c r="H21" s="14"/>
    </row>
    <row r="22" spans="1:8" x14ac:dyDescent="0.3">
      <c r="A22" s="8"/>
      <c r="B22" s="13"/>
      <c r="C22" s="8"/>
      <c r="D22" s="9"/>
      <c r="E22" s="10"/>
      <c r="F22" s="11"/>
      <c r="G22" s="12"/>
      <c r="H22" s="14"/>
    </row>
    <row r="23" spans="1:8" x14ac:dyDescent="0.3">
      <c r="A23" s="8"/>
      <c r="B23" s="13"/>
      <c r="C23" s="8"/>
      <c r="D23" s="9"/>
      <c r="E23" s="10"/>
      <c r="F23" s="11"/>
      <c r="G23" s="12"/>
      <c r="H23" s="14"/>
    </row>
    <row r="24" spans="1:8" x14ac:dyDescent="0.3">
      <c r="A24" s="8"/>
      <c r="B24" s="13"/>
      <c r="C24" s="8"/>
      <c r="D24" s="9"/>
      <c r="E24" s="10"/>
      <c r="F24" s="11"/>
      <c r="G24" s="12"/>
      <c r="H24" s="14"/>
    </row>
    <row r="25" spans="1:8" x14ac:dyDescent="0.3">
      <c r="A25" s="8"/>
      <c r="B25" s="13"/>
      <c r="C25" s="8"/>
      <c r="D25" s="9"/>
      <c r="E25" s="10"/>
      <c r="F25" s="11"/>
      <c r="G25" s="12"/>
      <c r="H25" s="14"/>
    </row>
    <row r="26" spans="1:8" x14ac:dyDescent="0.3">
      <c r="A26" s="8"/>
      <c r="B26" s="13"/>
      <c r="C26" s="8"/>
      <c r="D26" s="9"/>
      <c r="E26" s="10"/>
      <c r="F26" s="11"/>
      <c r="G26" s="12"/>
      <c r="H26" s="14"/>
    </row>
    <row r="27" spans="1:8" x14ac:dyDescent="0.3">
      <c r="A27" s="8"/>
      <c r="B27" s="13"/>
      <c r="C27" s="8"/>
      <c r="D27" s="9"/>
      <c r="E27" s="10"/>
      <c r="F27" s="11"/>
      <c r="G27" s="12"/>
      <c r="H27" s="14"/>
    </row>
    <row r="28" spans="1:8" x14ac:dyDescent="0.3">
      <c r="A28" s="8"/>
      <c r="B28" s="13"/>
      <c r="C28" s="8"/>
      <c r="D28" s="9"/>
      <c r="E28" s="10"/>
      <c r="F28" s="11"/>
      <c r="G28" s="12"/>
      <c r="H28" s="14"/>
    </row>
    <row r="29" spans="1:8" x14ac:dyDescent="0.3">
      <c r="A29" s="8"/>
      <c r="B29" s="13"/>
      <c r="C29" s="8"/>
      <c r="D29" s="9"/>
      <c r="E29" s="10"/>
      <c r="F29" s="11"/>
      <c r="G29" s="12"/>
      <c r="H29" s="14"/>
    </row>
    <row r="30" spans="1:8" x14ac:dyDescent="0.3">
      <c r="A30" s="8"/>
      <c r="B30" s="13"/>
      <c r="C30" s="8"/>
      <c r="D30" s="9"/>
      <c r="E30" s="10"/>
      <c r="F30" s="11"/>
      <c r="G30" s="12"/>
      <c r="H30" s="14"/>
    </row>
    <row r="31" spans="1:8" x14ac:dyDescent="0.3">
      <c r="A31" s="8"/>
      <c r="B31" s="13"/>
      <c r="C31" s="8"/>
      <c r="D31" s="9"/>
      <c r="E31" s="10"/>
      <c r="F31" s="11"/>
      <c r="G31" s="12"/>
      <c r="H31" s="14"/>
    </row>
    <row r="32" spans="1:8" x14ac:dyDescent="0.3">
      <c r="A32" s="8"/>
      <c r="B32" s="13"/>
      <c r="C32" s="8"/>
      <c r="D32" s="9"/>
      <c r="E32" s="10"/>
      <c r="F32" s="11"/>
      <c r="G32" s="12"/>
      <c r="H32" s="14"/>
    </row>
    <row r="33" spans="1:8" x14ac:dyDescent="0.3">
      <c r="A33" s="8"/>
      <c r="B33" s="13"/>
      <c r="C33" s="8"/>
      <c r="D33" s="9"/>
      <c r="E33" s="10"/>
      <c r="F33" s="11"/>
      <c r="G33" s="12"/>
      <c r="H33" s="14"/>
    </row>
    <row r="34" spans="1:8" x14ac:dyDescent="0.3">
      <c r="A34" s="8"/>
      <c r="B34" s="13"/>
      <c r="C34" s="8"/>
      <c r="D34" s="9"/>
      <c r="E34" s="10"/>
      <c r="F34" s="11"/>
      <c r="G34" s="12"/>
      <c r="H34" s="14"/>
    </row>
    <row r="35" spans="1:8" x14ac:dyDescent="0.3">
      <c r="A35" s="8"/>
      <c r="B35" s="13"/>
      <c r="C35" s="8"/>
      <c r="D35" s="9"/>
      <c r="E35" s="10"/>
      <c r="F35" s="11"/>
      <c r="G35" s="12"/>
      <c r="H35" s="14"/>
    </row>
    <row r="36" spans="1:8" x14ac:dyDescent="0.3">
      <c r="A36" s="8"/>
      <c r="B36" s="13"/>
      <c r="C36" s="8"/>
      <c r="D36" s="9"/>
      <c r="E36" s="10"/>
      <c r="F36" s="11"/>
      <c r="G36" s="12"/>
      <c r="H36" s="14"/>
    </row>
    <row r="37" spans="1:8" x14ac:dyDescent="0.3">
      <c r="A37" s="8"/>
      <c r="B37" s="13"/>
      <c r="C37" s="8"/>
      <c r="D37" s="9"/>
      <c r="E37" s="10"/>
      <c r="F37" s="11"/>
      <c r="G37" s="12"/>
      <c r="H37" s="14"/>
    </row>
    <row r="38" spans="1:8" x14ac:dyDescent="0.3">
      <c r="A38" s="8"/>
      <c r="B38" s="13"/>
      <c r="C38" s="8"/>
      <c r="D38" s="9"/>
      <c r="E38" s="10"/>
      <c r="F38" s="11"/>
      <c r="G38" s="12"/>
      <c r="H38" s="14"/>
    </row>
    <row r="39" spans="1:8" x14ac:dyDescent="0.3">
      <c r="A39" s="8"/>
      <c r="B39" s="13"/>
      <c r="C39" s="8"/>
      <c r="D39" s="9"/>
      <c r="E39" s="10"/>
      <c r="F39" s="11"/>
      <c r="G39" s="12"/>
      <c r="H39" s="14"/>
    </row>
    <row r="40" spans="1:8" x14ac:dyDescent="0.3">
      <c r="A40" s="8"/>
      <c r="B40" s="13"/>
      <c r="C40" s="8"/>
      <c r="D40" s="9"/>
      <c r="E40" s="10"/>
      <c r="F40" s="11"/>
      <c r="G40" s="12"/>
      <c r="H40" s="14"/>
    </row>
    <row r="41" spans="1:8" x14ac:dyDescent="0.3">
      <c r="A41" s="8"/>
      <c r="B41" s="13"/>
      <c r="C41" s="8"/>
      <c r="D41" s="9"/>
      <c r="E41" s="10"/>
      <c r="F41" s="11"/>
      <c r="G41" s="12"/>
      <c r="H41" s="14"/>
    </row>
    <row r="42" spans="1:8" x14ac:dyDescent="0.3">
      <c r="A42" s="8"/>
      <c r="B42" s="13"/>
      <c r="C42" s="8"/>
      <c r="D42" s="9"/>
      <c r="E42" s="10"/>
      <c r="F42" s="11"/>
      <c r="G42" s="12"/>
      <c r="H42" s="14"/>
    </row>
    <row r="43" spans="1:8" x14ac:dyDescent="0.3">
      <c r="A43" s="8"/>
      <c r="B43" s="13"/>
      <c r="C43" s="8"/>
      <c r="D43" s="9"/>
      <c r="E43" s="10"/>
      <c r="F43" s="11"/>
      <c r="G43" s="12"/>
      <c r="H43" s="14"/>
    </row>
    <row r="44" spans="1:8" x14ac:dyDescent="0.3">
      <c r="A44" s="8"/>
      <c r="B44" s="13"/>
      <c r="C44" s="8"/>
      <c r="D44" s="9"/>
      <c r="E44" s="10"/>
      <c r="F44" s="11"/>
      <c r="G44" s="12"/>
      <c r="H44" s="14"/>
    </row>
    <row r="45" spans="1:8" x14ac:dyDescent="0.3">
      <c r="A45" s="8"/>
      <c r="B45" s="13"/>
      <c r="C45" s="8"/>
      <c r="D45" s="9"/>
      <c r="E45" s="10"/>
      <c r="F45" s="11"/>
      <c r="G45" s="12"/>
      <c r="H45" s="14"/>
    </row>
    <row r="46" spans="1:8" x14ac:dyDescent="0.3">
      <c r="A46" s="8"/>
      <c r="B46" s="13"/>
      <c r="C46" s="8"/>
      <c r="D46" s="9"/>
      <c r="E46" s="10"/>
      <c r="F46" s="11"/>
      <c r="G46" s="12"/>
      <c r="H46" s="14"/>
    </row>
    <row r="47" spans="1:8" x14ac:dyDescent="0.3">
      <c r="A47" s="8"/>
      <c r="B47" s="13"/>
      <c r="C47" s="8"/>
      <c r="D47" s="9"/>
      <c r="E47" s="10"/>
      <c r="F47" s="11"/>
      <c r="G47" s="12"/>
      <c r="H47" s="14"/>
    </row>
    <row r="48" spans="1:8" x14ac:dyDescent="0.3">
      <c r="A48" s="8"/>
      <c r="B48" s="13"/>
      <c r="C48" s="8"/>
      <c r="D48" s="9"/>
      <c r="E48" s="10"/>
      <c r="F48" s="11"/>
      <c r="G48" s="12"/>
      <c r="H48" s="14"/>
    </row>
    <row r="49" spans="1:8" x14ac:dyDescent="0.3">
      <c r="A49" s="8"/>
      <c r="B49" s="13"/>
      <c r="C49" s="8"/>
      <c r="D49" s="9"/>
      <c r="E49" s="10"/>
      <c r="F49" s="11"/>
      <c r="G49" s="12"/>
      <c r="H49" s="14"/>
    </row>
    <row r="50" spans="1:8" x14ac:dyDescent="0.3">
      <c r="A50" s="8"/>
      <c r="B50" s="13"/>
      <c r="C50" s="8"/>
      <c r="D50" s="9"/>
      <c r="E50" s="10"/>
      <c r="F50" s="11"/>
      <c r="G50" s="12"/>
      <c r="H50" s="14"/>
    </row>
    <row r="51" spans="1:8" x14ac:dyDescent="0.3">
      <c r="A51" s="8"/>
      <c r="B51" s="13"/>
      <c r="C51" s="8"/>
      <c r="D51" s="9"/>
      <c r="E51" s="10"/>
      <c r="F51" s="11"/>
      <c r="G51" s="12"/>
      <c r="H51" s="14"/>
    </row>
    <row r="52" spans="1:8" x14ac:dyDescent="0.3">
      <c r="A52" s="8"/>
      <c r="B52" s="13"/>
      <c r="C52" s="8"/>
      <c r="D52" s="9"/>
      <c r="E52" s="10"/>
      <c r="F52" s="11"/>
      <c r="G52" s="12"/>
      <c r="H52" s="14"/>
    </row>
    <row r="53" spans="1:8" x14ac:dyDescent="0.3">
      <c r="A53" s="8"/>
      <c r="B53" s="13"/>
      <c r="C53" s="8"/>
      <c r="D53" s="9"/>
      <c r="E53" s="10"/>
      <c r="F53" s="11"/>
      <c r="G53" s="12"/>
      <c r="H53" s="14"/>
    </row>
    <row r="54" spans="1:8" x14ac:dyDescent="0.3">
      <c r="A54" s="8"/>
      <c r="B54" s="13"/>
      <c r="C54" s="8"/>
      <c r="D54" s="9"/>
      <c r="E54" s="10"/>
      <c r="F54" s="11"/>
      <c r="G54" s="12"/>
      <c r="H54" s="14"/>
    </row>
    <row r="55" spans="1:8" x14ac:dyDescent="0.3">
      <c r="A55" s="8"/>
      <c r="B55" s="13"/>
      <c r="C55" s="8"/>
      <c r="D55" s="9"/>
      <c r="E55" s="10"/>
      <c r="F55" s="11"/>
      <c r="G55" s="12"/>
      <c r="H55" s="14"/>
    </row>
    <row r="56" spans="1:8" x14ac:dyDescent="0.3">
      <c r="A56" s="8"/>
      <c r="B56" s="13"/>
      <c r="C56" s="8"/>
      <c r="D56" s="9"/>
      <c r="E56" s="10"/>
      <c r="F56" s="11"/>
      <c r="G56" s="12"/>
      <c r="H56" s="14"/>
    </row>
    <row r="57" spans="1:8" x14ac:dyDescent="0.3">
      <c r="A57" s="8"/>
      <c r="B57" s="13"/>
      <c r="C57" s="8"/>
      <c r="D57" s="9"/>
      <c r="E57" s="10"/>
      <c r="F57" s="11"/>
      <c r="G57" s="12"/>
      <c r="H57" s="14"/>
    </row>
    <row r="58" spans="1:8" x14ac:dyDescent="0.3">
      <c r="A58" s="8"/>
      <c r="B58" s="13"/>
      <c r="C58" s="8"/>
      <c r="D58" s="9"/>
      <c r="E58" s="10"/>
      <c r="F58" s="11"/>
      <c r="G58" s="12"/>
      <c r="H58" s="14"/>
    </row>
    <row r="59" spans="1:8" x14ac:dyDescent="0.3">
      <c r="A59" s="8"/>
      <c r="B59" s="13"/>
      <c r="C59" s="8"/>
      <c r="D59" s="9"/>
      <c r="E59" s="10"/>
      <c r="F59" s="11"/>
      <c r="G59" s="12"/>
      <c r="H59" s="14"/>
    </row>
    <row r="60" spans="1:8" x14ac:dyDescent="0.3">
      <c r="A60" s="8"/>
      <c r="B60" s="13"/>
      <c r="C60" s="8"/>
      <c r="D60" s="9"/>
      <c r="E60" s="10"/>
      <c r="F60" s="11"/>
      <c r="G60" s="12"/>
      <c r="H60" s="14"/>
    </row>
    <row r="61" spans="1:8" x14ac:dyDescent="0.3">
      <c r="A61" s="8"/>
      <c r="B61" s="13"/>
      <c r="C61" s="8"/>
      <c r="D61" s="9"/>
      <c r="E61" s="10"/>
      <c r="F61" s="11"/>
      <c r="G61" s="12"/>
      <c r="H61" s="14"/>
    </row>
    <row r="62" spans="1:8" x14ac:dyDescent="0.3">
      <c r="A62" s="8"/>
      <c r="B62" s="13"/>
      <c r="C62" s="8"/>
      <c r="D62" s="9"/>
      <c r="E62" s="10"/>
      <c r="F62" s="11"/>
      <c r="G62" s="12"/>
      <c r="H62" s="14"/>
    </row>
    <row r="63" spans="1:8" x14ac:dyDescent="0.3">
      <c r="A63" s="8"/>
      <c r="B63" s="13"/>
      <c r="C63" s="8"/>
      <c r="D63" s="9"/>
      <c r="E63" s="10"/>
      <c r="F63" s="11"/>
      <c r="G63" s="12"/>
      <c r="H63" s="14"/>
    </row>
    <row r="64" spans="1:8" x14ac:dyDescent="0.3">
      <c r="A64" s="8"/>
      <c r="B64" s="13"/>
      <c r="C64" s="8"/>
      <c r="D64" s="9"/>
      <c r="E64" s="10"/>
      <c r="F64" s="11"/>
      <c r="G64" s="12"/>
      <c r="H64" s="14"/>
    </row>
    <row r="65" spans="1:8" x14ac:dyDescent="0.3">
      <c r="A65" s="8"/>
      <c r="B65" s="13"/>
      <c r="C65" s="8"/>
      <c r="D65" s="9"/>
      <c r="E65" s="10"/>
      <c r="F65" s="11"/>
      <c r="G65" s="12"/>
      <c r="H65" s="14"/>
    </row>
    <row r="66" spans="1:8" x14ac:dyDescent="0.3">
      <c r="A66" s="8"/>
      <c r="B66" s="13"/>
      <c r="C66" s="8"/>
      <c r="D66" s="9"/>
      <c r="E66" s="10"/>
      <c r="F66" s="11"/>
      <c r="G66" s="12"/>
      <c r="H66" s="14"/>
    </row>
    <row r="67" spans="1:8" x14ac:dyDescent="0.3">
      <c r="A67" s="8"/>
      <c r="B67" s="13"/>
      <c r="C67" s="8"/>
      <c r="D67" s="9"/>
      <c r="E67" s="10"/>
      <c r="F67" s="11"/>
      <c r="G67" s="12"/>
      <c r="H67" s="14"/>
    </row>
    <row r="68" spans="1:8" x14ac:dyDescent="0.3">
      <c r="A68" s="8"/>
      <c r="B68" s="13"/>
      <c r="C68" s="8"/>
      <c r="D68" s="9"/>
      <c r="E68" s="10"/>
      <c r="F68" s="11"/>
      <c r="G68" s="12"/>
      <c r="H68" s="14"/>
    </row>
    <row r="69" spans="1:8" x14ac:dyDescent="0.3">
      <c r="A69" s="8"/>
      <c r="B69" s="13"/>
      <c r="C69" s="8"/>
      <c r="D69" s="9"/>
      <c r="E69" s="10"/>
      <c r="F69" s="11"/>
      <c r="G69" s="12"/>
      <c r="H69" s="14"/>
    </row>
    <row r="70" spans="1:8" x14ac:dyDescent="0.3">
      <c r="A70" s="8"/>
      <c r="B70" s="13"/>
      <c r="C70" s="8"/>
      <c r="D70" s="9"/>
      <c r="E70" s="10"/>
      <c r="F70" s="11"/>
      <c r="G70" s="12"/>
      <c r="H70" s="14"/>
    </row>
    <row r="71" spans="1:8" x14ac:dyDescent="0.3">
      <c r="A71" s="8"/>
      <c r="B71" s="13"/>
      <c r="C71" s="8"/>
      <c r="D71" s="9"/>
      <c r="E71" s="10"/>
      <c r="F71" s="11"/>
      <c r="G71" s="12"/>
      <c r="H71" s="14"/>
    </row>
    <row r="72" spans="1:8" x14ac:dyDescent="0.3">
      <c r="A72" s="8"/>
      <c r="B72" s="13"/>
      <c r="C72" s="8"/>
      <c r="D72" s="9"/>
      <c r="E72" s="10"/>
      <c r="F72" s="11"/>
      <c r="G72" s="12"/>
      <c r="H72" s="14"/>
    </row>
    <row r="73" spans="1:8" x14ac:dyDescent="0.3">
      <c r="A73" s="8"/>
      <c r="B73" s="13"/>
      <c r="C73" s="8"/>
      <c r="D73" s="9"/>
      <c r="E73" s="10"/>
      <c r="F73" s="11"/>
      <c r="G73" s="12"/>
      <c r="H73" s="14"/>
    </row>
    <row r="74" spans="1:8" x14ac:dyDescent="0.3">
      <c r="A74" s="8"/>
      <c r="B74" s="13"/>
      <c r="C74" s="8"/>
      <c r="D74" s="9"/>
      <c r="E74" s="10"/>
      <c r="F74" s="11"/>
      <c r="G74" s="12"/>
      <c r="H74" s="14"/>
    </row>
    <row r="75" spans="1:8" x14ac:dyDescent="0.3">
      <c r="A75" s="8"/>
      <c r="B75" s="13"/>
      <c r="C75" s="8"/>
      <c r="D75" s="9"/>
      <c r="E75" s="10"/>
      <c r="F75" s="11"/>
      <c r="G75" s="12"/>
      <c r="H75" s="14"/>
    </row>
    <row r="76" spans="1:8" x14ac:dyDescent="0.3">
      <c r="A76" s="8"/>
      <c r="B76" s="13"/>
      <c r="C76" s="8"/>
      <c r="D76" s="9"/>
      <c r="E76" s="10"/>
      <c r="F76" s="11"/>
      <c r="G76" s="12"/>
      <c r="H76" s="14"/>
    </row>
    <row r="77" spans="1:8" x14ac:dyDescent="0.3">
      <c r="A77" s="8"/>
      <c r="B77" s="13"/>
      <c r="C77" s="8"/>
      <c r="D77" s="9"/>
      <c r="E77" s="10"/>
      <c r="F77" s="11"/>
      <c r="G77" s="12"/>
      <c r="H77" s="14"/>
    </row>
    <row r="78" spans="1:8" x14ac:dyDescent="0.3">
      <c r="A78" s="8"/>
      <c r="B78" s="13"/>
      <c r="C78" s="8"/>
      <c r="D78" s="9"/>
      <c r="E78" s="10"/>
      <c r="F78" s="11"/>
      <c r="G78" s="12"/>
      <c r="H78" s="14"/>
    </row>
    <row r="79" spans="1:8" x14ac:dyDescent="0.3">
      <c r="A79" s="8"/>
      <c r="B79" s="13"/>
      <c r="C79" s="8"/>
      <c r="D79" s="9"/>
      <c r="E79" s="10"/>
      <c r="F79" s="11"/>
      <c r="G79" s="12"/>
      <c r="H79" s="14"/>
    </row>
    <row r="80" spans="1:8" x14ac:dyDescent="0.3">
      <c r="A80" s="8"/>
      <c r="B80" s="13"/>
      <c r="C80" s="8"/>
      <c r="D80" s="9"/>
      <c r="E80" s="10"/>
      <c r="F80" s="11"/>
      <c r="G80" s="12"/>
      <c r="H80" s="14"/>
    </row>
    <row r="81" spans="1:8" x14ac:dyDescent="0.3">
      <c r="A81" s="8"/>
      <c r="B81" s="13"/>
      <c r="C81" s="8"/>
      <c r="D81" s="9"/>
      <c r="E81" s="10"/>
      <c r="F81" s="11"/>
      <c r="G81" s="12"/>
      <c r="H81" s="14"/>
    </row>
    <row r="82" spans="1:8" x14ac:dyDescent="0.3">
      <c r="A82" s="8"/>
      <c r="B82" s="13"/>
      <c r="C82" s="8"/>
      <c r="D82" s="9"/>
      <c r="E82" s="10"/>
      <c r="F82" s="11"/>
      <c r="G82" s="12"/>
      <c r="H82" s="14"/>
    </row>
    <row r="83" spans="1:8" x14ac:dyDescent="0.3">
      <c r="A83" s="8"/>
      <c r="B83" s="13"/>
      <c r="C83" s="8"/>
      <c r="D83" s="9"/>
      <c r="E83" s="10"/>
      <c r="F83" s="11"/>
      <c r="G83" s="12"/>
      <c r="H83" s="14"/>
    </row>
    <row r="84" spans="1:8" x14ac:dyDescent="0.3">
      <c r="A84" s="8"/>
      <c r="B84" s="13"/>
      <c r="C84" s="8"/>
      <c r="D84" s="9"/>
      <c r="E84" s="10"/>
      <c r="F84" s="11"/>
      <c r="G84" s="12"/>
      <c r="H84" s="14"/>
    </row>
    <row r="85" spans="1:8" x14ac:dyDescent="0.3">
      <c r="A85" s="8"/>
      <c r="B85" s="13"/>
      <c r="C85" s="8"/>
      <c r="D85" s="9"/>
      <c r="E85" s="10"/>
      <c r="F85" s="11"/>
      <c r="G85" s="12"/>
      <c r="H85" s="14"/>
    </row>
    <row r="86" spans="1:8" x14ac:dyDescent="0.3">
      <c r="A86" s="8"/>
      <c r="B86" s="13"/>
      <c r="C86" s="8"/>
      <c r="D86" s="9"/>
      <c r="E86" s="10"/>
      <c r="F86" s="11"/>
      <c r="G86" s="12"/>
      <c r="H86" s="14"/>
    </row>
    <row r="87" spans="1:8" x14ac:dyDescent="0.3">
      <c r="A87" s="8"/>
      <c r="B87" s="13"/>
      <c r="C87" s="8"/>
      <c r="D87" s="9"/>
      <c r="E87" s="10"/>
      <c r="F87" s="11"/>
      <c r="G87" s="12"/>
      <c r="H87" s="14"/>
    </row>
    <row r="88" spans="1:8" x14ac:dyDescent="0.3">
      <c r="A88" s="8"/>
      <c r="B88" s="13"/>
      <c r="C88" s="8"/>
      <c r="D88" s="9"/>
      <c r="E88" s="10"/>
      <c r="F88" s="11"/>
      <c r="G88" s="12"/>
      <c r="H88" s="14"/>
    </row>
    <row r="89" spans="1:8" x14ac:dyDescent="0.3">
      <c r="A89" s="8"/>
      <c r="B89" s="13"/>
      <c r="C89" s="8"/>
      <c r="D89" s="9"/>
      <c r="E89" s="10"/>
      <c r="F89" s="11"/>
      <c r="G89" s="12"/>
      <c r="H89" s="14"/>
    </row>
    <row r="90" spans="1:8" x14ac:dyDescent="0.3">
      <c r="A90" s="8"/>
      <c r="B90" s="13"/>
      <c r="C90" s="8"/>
      <c r="D90" s="9"/>
      <c r="E90" s="10"/>
      <c r="F90" s="11"/>
      <c r="G90" s="12"/>
      <c r="H90" s="14"/>
    </row>
    <row r="91" spans="1:8" x14ac:dyDescent="0.3">
      <c r="A91" s="8"/>
      <c r="B91" s="13"/>
      <c r="C91" s="8"/>
      <c r="D91" s="9"/>
      <c r="E91" s="10"/>
      <c r="F91" s="11"/>
      <c r="G91" s="12"/>
      <c r="H91" s="14"/>
    </row>
    <row r="92" spans="1:8" x14ac:dyDescent="0.3">
      <c r="A92" s="8"/>
      <c r="B92" s="13"/>
      <c r="C92" s="8"/>
      <c r="D92" s="9"/>
      <c r="E92" s="10"/>
      <c r="F92" s="11"/>
      <c r="G92" s="12"/>
      <c r="H92" s="14"/>
    </row>
    <row r="93" spans="1:8" x14ac:dyDescent="0.3">
      <c r="A93" s="8"/>
      <c r="B93" s="13"/>
      <c r="C93" s="8"/>
      <c r="D93" s="9"/>
      <c r="E93" s="10"/>
      <c r="F93" s="11"/>
      <c r="G93" s="12"/>
      <c r="H93" s="14"/>
    </row>
    <row r="94" spans="1:8" x14ac:dyDescent="0.3">
      <c r="A94" s="8"/>
      <c r="B94" s="13"/>
      <c r="C94" s="8"/>
      <c r="D94" s="9"/>
      <c r="E94" s="10"/>
      <c r="F94" s="11"/>
      <c r="G94" s="12"/>
      <c r="H94" s="14"/>
    </row>
    <row r="95" spans="1:8" x14ac:dyDescent="0.3">
      <c r="A95" s="8"/>
      <c r="B95" s="13"/>
      <c r="C95" s="8"/>
      <c r="D95" s="9"/>
      <c r="E95" s="10"/>
      <c r="F95" s="11"/>
      <c r="G95" s="12"/>
      <c r="H95" s="14"/>
    </row>
    <row r="96" spans="1:8" x14ac:dyDescent="0.3">
      <c r="A96" s="8"/>
      <c r="B96" s="13"/>
      <c r="C96" s="8"/>
      <c r="D96" s="9"/>
      <c r="E96" s="10"/>
      <c r="F96" s="11"/>
      <c r="G96" s="12"/>
      <c r="H96" s="14"/>
    </row>
    <row r="97" spans="1:8" x14ac:dyDescent="0.3">
      <c r="A97" s="8"/>
      <c r="B97" s="13"/>
      <c r="C97" s="8"/>
      <c r="D97" s="9"/>
      <c r="E97" s="10"/>
      <c r="F97" s="11"/>
      <c r="G97" s="12"/>
      <c r="H97" s="14"/>
    </row>
    <row r="98" spans="1:8" x14ac:dyDescent="0.3">
      <c r="A98" s="8"/>
      <c r="B98" s="13"/>
      <c r="C98" s="8"/>
      <c r="D98" s="9"/>
      <c r="E98" s="10"/>
      <c r="F98" s="11"/>
      <c r="G98" s="12"/>
      <c r="H98" s="14"/>
    </row>
    <row r="99" spans="1:8" x14ac:dyDescent="0.3">
      <c r="A99" s="8"/>
      <c r="B99" s="13"/>
      <c r="C99" s="8"/>
      <c r="D99" s="9"/>
      <c r="E99" s="10"/>
      <c r="F99" s="11"/>
      <c r="G99" s="12"/>
      <c r="H99" s="14"/>
    </row>
    <row r="100" spans="1:8" x14ac:dyDescent="0.3">
      <c r="A100" s="8"/>
      <c r="B100" s="13"/>
      <c r="C100" s="8"/>
      <c r="D100" s="9"/>
      <c r="E100" s="10"/>
      <c r="F100" s="11"/>
      <c r="G100" s="12"/>
      <c r="H100" s="14"/>
    </row>
    <row r="101" spans="1:8" x14ac:dyDescent="0.3">
      <c r="A101" s="8"/>
      <c r="B101" s="13"/>
      <c r="C101" s="8"/>
      <c r="D101" s="9"/>
      <c r="E101" s="10"/>
      <c r="F101" s="11"/>
      <c r="G101" s="12"/>
      <c r="H101" s="14"/>
    </row>
    <row r="102" spans="1:8" x14ac:dyDescent="0.3">
      <c r="A102" s="8"/>
      <c r="B102" s="13"/>
      <c r="C102" s="8"/>
      <c r="D102" s="9"/>
      <c r="E102" s="10"/>
      <c r="F102" s="11"/>
      <c r="G102" s="12"/>
      <c r="H102" s="14"/>
    </row>
    <row r="103" spans="1:8" x14ac:dyDescent="0.3">
      <c r="A103" s="8"/>
      <c r="B103" s="13"/>
      <c r="C103" s="8"/>
      <c r="D103" s="9"/>
      <c r="E103" s="10"/>
      <c r="F103" s="11"/>
      <c r="G103" s="12"/>
      <c r="H103" s="14"/>
    </row>
    <row r="104" spans="1:8" x14ac:dyDescent="0.3">
      <c r="A104" s="8"/>
      <c r="B104" s="13"/>
      <c r="C104" s="8"/>
      <c r="D104" s="9"/>
      <c r="E104" s="10"/>
      <c r="F104" s="11"/>
      <c r="G104" s="12"/>
      <c r="H104" s="14"/>
    </row>
    <row r="105" spans="1:8" x14ac:dyDescent="0.3">
      <c r="A105" s="8"/>
      <c r="B105" s="13"/>
      <c r="C105" s="8"/>
      <c r="D105" s="9"/>
      <c r="E105" s="10"/>
      <c r="F105" s="11"/>
      <c r="G105" s="12"/>
      <c r="H105" s="14"/>
    </row>
    <row r="106" spans="1:8" x14ac:dyDescent="0.3">
      <c r="A106" s="8"/>
      <c r="B106" s="13"/>
      <c r="C106" s="8"/>
      <c r="D106" s="9"/>
      <c r="E106" s="10"/>
      <c r="F106" s="11"/>
      <c r="G106" s="12"/>
      <c r="H106" s="14"/>
    </row>
    <row r="107" spans="1:8" x14ac:dyDescent="0.3">
      <c r="A107" s="8"/>
      <c r="B107" s="13"/>
      <c r="C107" s="8"/>
      <c r="D107" s="9"/>
      <c r="E107" s="10"/>
      <c r="F107" s="11"/>
      <c r="G107" s="12"/>
      <c r="H107" s="14"/>
    </row>
    <row r="108" spans="1:8" x14ac:dyDescent="0.3">
      <c r="A108" s="8"/>
      <c r="B108" s="13"/>
      <c r="C108" s="8"/>
      <c r="D108" s="9"/>
      <c r="E108" s="10"/>
      <c r="F108" s="11"/>
      <c r="G108" s="12"/>
      <c r="H108" s="14"/>
    </row>
    <row r="109" spans="1:8" x14ac:dyDescent="0.3">
      <c r="A109" s="8"/>
      <c r="B109" s="13"/>
      <c r="C109" s="8"/>
      <c r="D109" s="9"/>
      <c r="E109" s="10"/>
      <c r="F109" s="11"/>
      <c r="G109" s="12"/>
      <c r="H109" s="14"/>
    </row>
    <row r="110" spans="1:8" x14ac:dyDescent="0.3">
      <c r="A110" s="8"/>
      <c r="B110" s="13"/>
      <c r="C110" s="8"/>
      <c r="D110" s="9"/>
      <c r="E110" s="10"/>
      <c r="F110" s="11"/>
      <c r="G110" s="12"/>
      <c r="H110" s="14"/>
    </row>
    <row r="111" spans="1:8" x14ac:dyDescent="0.3">
      <c r="A111" s="8"/>
      <c r="B111" s="13"/>
      <c r="C111" s="8"/>
      <c r="D111" s="9"/>
      <c r="E111" s="10"/>
      <c r="F111" s="11"/>
      <c r="G111" s="12"/>
      <c r="H111" s="14"/>
    </row>
    <row r="112" spans="1:8" x14ac:dyDescent="0.3">
      <c r="A112" s="8"/>
      <c r="B112" s="13"/>
      <c r="C112" s="8"/>
      <c r="D112" s="9"/>
      <c r="E112" s="10"/>
      <c r="F112" s="11"/>
      <c r="G112" s="12"/>
      <c r="H112" s="14"/>
    </row>
    <row r="113" spans="1:8" x14ac:dyDescent="0.3">
      <c r="A113" s="8"/>
      <c r="B113" s="13"/>
      <c r="C113" s="8"/>
      <c r="D113" s="9"/>
      <c r="E113" s="10"/>
      <c r="F113" s="11"/>
      <c r="G113" s="12"/>
      <c r="H113" s="14"/>
    </row>
    <row r="114" spans="1:8" x14ac:dyDescent="0.3">
      <c r="A114" s="8"/>
      <c r="B114" s="13"/>
      <c r="C114" s="8"/>
      <c r="D114" s="9"/>
      <c r="E114" s="10"/>
      <c r="F114" s="11"/>
      <c r="G114" s="12"/>
      <c r="H114" s="14"/>
    </row>
    <row r="115" spans="1:8" x14ac:dyDescent="0.3">
      <c r="A115" s="8"/>
      <c r="B115" s="13"/>
      <c r="C115" s="8"/>
      <c r="D115" s="9"/>
      <c r="E115" s="10"/>
      <c r="F115" s="11"/>
      <c r="G115" s="12"/>
      <c r="H115" s="14"/>
    </row>
    <row r="116" spans="1:8" x14ac:dyDescent="0.3">
      <c r="A116" s="8"/>
      <c r="B116" s="13"/>
      <c r="C116" s="8"/>
      <c r="D116" s="9"/>
      <c r="E116" s="10"/>
      <c r="F116" s="11"/>
      <c r="G116" s="12"/>
      <c r="H116" s="14"/>
    </row>
    <row r="117" spans="1:8" x14ac:dyDescent="0.3">
      <c r="A117" s="8"/>
      <c r="B117" s="13"/>
      <c r="C117" s="8"/>
      <c r="D117" s="9"/>
      <c r="E117" s="10"/>
      <c r="F117" s="11"/>
      <c r="G117" s="12"/>
      <c r="H117" s="14"/>
    </row>
    <row r="118" spans="1:8" x14ac:dyDescent="0.3">
      <c r="A118" s="8"/>
      <c r="B118" s="13"/>
      <c r="C118" s="8"/>
      <c r="D118" s="9"/>
      <c r="E118" s="10"/>
      <c r="F118" s="11"/>
      <c r="G118" s="12"/>
      <c r="H118" s="14"/>
    </row>
    <row r="119" spans="1:8" x14ac:dyDescent="0.3">
      <c r="A119" s="8"/>
      <c r="B119" s="13"/>
      <c r="C119" s="8"/>
      <c r="D119" s="9"/>
      <c r="E119" s="10"/>
      <c r="F119" s="11"/>
      <c r="G119" s="12"/>
      <c r="H119" s="14"/>
    </row>
    <row r="120" spans="1:8" x14ac:dyDescent="0.3">
      <c r="A120" s="8"/>
      <c r="B120" s="13"/>
      <c r="C120" s="8"/>
      <c r="D120" s="9"/>
      <c r="E120" s="10"/>
      <c r="F120" s="11"/>
      <c r="G120" s="12"/>
      <c r="H120" s="14"/>
    </row>
    <row r="121" spans="1:8" x14ac:dyDescent="0.3">
      <c r="A121" s="8"/>
      <c r="B121" s="13"/>
      <c r="C121" s="8"/>
      <c r="D121" s="9"/>
      <c r="E121" s="10"/>
      <c r="F121" s="11"/>
      <c r="G121" s="12"/>
      <c r="H121" s="14"/>
    </row>
    <row r="122" spans="1:8" x14ac:dyDescent="0.3">
      <c r="A122" s="8"/>
      <c r="B122" s="13"/>
      <c r="C122" s="8"/>
      <c r="D122" s="9"/>
      <c r="E122" s="10"/>
      <c r="F122" s="11"/>
      <c r="G122" s="12"/>
      <c r="H122" s="14"/>
    </row>
    <row r="123" spans="1:8" x14ac:dyDescent="0.3">
      <c r="A123" s="8"/>
      <c r="B123" s="13"/>
      <c r="C123" s="8"/>
      <c r="D123" s="9"/>
      <c r="E123" s="10"/>
      <c r="F123" s="11"/>
      <c r="G123" s="12"/>
      <c r="H123" s="14"/>
    </row>
    <row r="124" spans="1:8" x14ac:dyDescent="0.3">
      <c r="A124" s="8"/>
      <c r="B124" s="13"/>
      <c r="C124" s="8"/>
      <c r="D124" s="9"/>
      <c r="E124" s="10"/>
      <c r="F124" s="11"/>
      <c r="G124" s="12"/>
      <c r="H124" s="14"/>
    </row>
    <row r="125" spans="1:8" x14ac:dyDescent="0.3">
      <c r="A125" s="8"/>
      <c r="B125" s="13"/>
      <c r="C125" s="8"/>
      <c r="D125" s="9"/>
      <c r="E125" s="10"/>
      <c r="F125" s="11"/>
      <c r="G125" s="12"/>
      <c r="H125" s="14"/>
    </row>
    <row r="126" spans="1:8" x14ac:dyDescent="0.3">
      <c r="A126" s="8"/>
      <c r="B126" s="13"/>
      <c r="C126" s="8"/>
      <c r="D126" s="9"/>
      <c r="E126" s="10"/>
      <c r="F126" s="11"/>
      <c r="G126" s="12"/>
      <c r="H126" s="14"/>
    </row>
    <row r="127" spans="1:8" x14ac:dyDescent="0.3">
      <c r="A127" s="8"/>
      <c r="B127" s="13"/>
      <c r="C127" s="8"/>
      <c r="D127" s="9"/>
      <c r="E127" s="10"/>
      <c r="F127" s="11"/>
      <c r="G127" s="12"/>
      <c r="H127" s="14"/>
    </row>
    <row r="128" spans="1:8" x14ac:dyDescent="0.3">
      <c r="A128" s="8"/>
      <c r="B128" s="13"/>
      <c r="C128" s="8"/>
      <c r="D128" s="9"/>
      <c r="E128" s="10"/>
      <c r="F128" s="11"/>
      <c r="G128" s="12"/>
      <c r="H128" s="14"/>
    </row>
    <row r="129" spans="1:8" x14ac:dyDescent="0.3">
      <c r="A129" s="8"/>
      <c r="B129" s="13"/>
      <c r="C129" s="8"/>
      <c r="D129" s="9"/>
      <c r="E129" s="10"/>
      <c r="F129" s="11"/>
      <c r="G129" s="12"/>
      <c r="H129" s="14"/>
    </row>
    <row r="130" spans="1:8" x14ac:dyDescent="0.3">
      <c r="A130" s="8"/>
      <c r="B130" s="13"/>
      <c r="C130" s="8"/>
      <c r="D130" s="9"/>
      <c r="E130" s="10"/>
      <c r="F130" s="11"/>
      <c r="G130" s="12"/>
      <c r="H130" s="14"/>
    </row>
    <row r="131" spans="1:8" x14ac:dyDescent="0.3">
      <c r="A131" s="8"/>
      <c r="B131" s="13"/>
      <c r="C131" s="8"/>
      <c r="D131" s="9"/>
      <c r="E131" s="10"/>
      <c r="F131" s="11"/>
      <c r="G131" s="12"/>
      <c r="H131" s="14"/>
    </row>
    <row r="132" spans="1:8" x14ac:dyDescent="0.3">
      <c r="A132" s="8"/>
      <c r="B132" s="13"/>
      <c r="C132" s="8"/>
      <c r="D132" s="9"/>
      <c r="E132" s="10"/>
      <c r="F132" s="11"/>
      <c r="G132" s="12"/>
      <c r="H132" s="14"/>
    </row>
    <row r="133" spans="1:8" x14ac:dyDescent="0.3">
      <c r="A133" s="8"/>
      <c r="B133" s="13"/>
      <c r="C133" s="8"/>
      <c r="D133" s="9"/>
      <c r="E133" s="10"/>
      <c r="F133" s="11"/>
      <c r="G133" s="12"/>
      <c r="H133" s="14"/>
    </row>
    <row r="134" spans="1:8" x14ac:dyDescent="0.3">
      <c r="A134" s="8"/>
      <c r="B134" s="13"/>
      <c r="C134" s="8"/>
      <c r="D134" s="9"/>
      <c r="E134" s="10"/>
      <c r="F134" s="11"/>
      <c r="G134" s="12"/>
      <c r="H134" s="14"/>
    </row>
    <row r="135" spans="1:8" x14ac:dyDescent="0.3">
      <c r="A135" s="8"/>
      <c r="B135" s="13"/>
      <c r="C135" s="8"/>
      <c r="D135" s="9"/>
      <c r="E135" s="10"/>
      <c r="F135" s="11"/>
      <c r="G135" s="12"/>
      <c r="H135" s="14"/>
    </row>
    <row r="136" spans="1:8" x14ac:dyDescent="0.3">
      <c r="A136" s="8"/>
      <c r="B136" s="13"/>
      <c r="C136" s="8"/>
      <c r="D136" s="9"/>
      <c r="E136" s="10"/>
      <c r="F136" s="11"/>
      <c r="G136" s="12"/>
      <c r="H136" s="14"/>
    </row>
    <row r="137" spans="1:8" x14ac:dyDescent="0.3">
      <c r="A137" s="8"/>
      <c r="B137" s="13"/>
      <c r="C137" s="8"/>
      <c r="D137" s="9"/>
      <c r="E137" s="10"/>
      <c r="F137" s="11"/>
      <c r="G137" s="12"/>
      <c r="H137" s="14"/>
    </row>
    <row r="138" spans="1:8" x14ac:dyDescent="0.3">
      <c r="A138" s="8"/>
      <c r="B138" s="13"/>
      <c r="C138" s="8"/>
      <c r="D138" s="9"/>
      <c r="E138" s="10"/>
      <c r="F138" s="11"/>
      <c r="G138" s="12"/>
      <c r="H138" s="14"/>
    </row>
    <row r="139" spans="1:8" x14ac:dyDescent="0.3">
      <c r="A139" s="8"/>
      <c r="B139" s="13"/>
      <c r="C139" s="8"/>
      <c r="D139" s="9"/>
      <c r="E139" s="10"/>
      <c r="F139" s="11"/>
      <c r="G139" s="12"/>
      <c r="H139" s="14"/>
    </row>
    <row r="140" spans="1:8" x14ac:dyDescent="0.3">
      <c r="A140" s="8"/>
      <c r="B140" s="13"/>
      <c r="C140" s="8"/>
      <c r="D140" s="9"/>
      <c r="E140" s="10"/>
      <c r="F140" s="11"/>
      <c r="G140" s="12"/>
      <c r="H140" s="14"/>
    </row>
    <row r="141" spans="1:8" x14ac:dyDescent="0.3">
      <c r="A141" s="8"/>
      <c r="B141" s="13"/>
      <c r="C141" s="8"/>
      <c r="D141" s="9"/>
      <c r="E141" s="10"/>
      <c r="F141" s="11"/>
      <c r="G141" s="12"/>
      <c r="H141" s="14"/>
    </row>
    <row r="142" spans="1:8" x14ac:dyDescent="0.3">
      <c r="A142" s="8"/>
      <c r="B142" s="13"/>
      <c r="C142" s="8"/>
      <c r="D142" s="9"/>
      <c r="E142" s="10"/>
      <c r="F142" s="11"/>
      <c r="G142" s="12"/>
      <c r="H142" s="14"/>
    </row>
    <row r="143" spans="1:8" x14ac:dyDescent="0.3">
      <c r="A143" s="8"/>
      <c r="B143" s="13"/>
      <c r="C143" s="8"/>
      <c r="D143" s="9"/>
      <c r="E143" s="10"/>
      <c r="F143" s="11"/>
      <c r="G143" s="12"/>
      <c r="H143" s="14"/>
    </row>
    <row r="144" spans="1:8" x14ac:dyDescent="0.3">
      <c r="A144" s="8"/>
      <c r="B144" s="13"/>
      <c r="C144" s="8"/>
      <c r="D144" s="9"/>
      <c r="E144" s="10"/>
      <c r="F144" s="11"/>
      <c r="G144" s="12"/>
      <c r="H144" s="14"/>
    </row>
    <row r="145" spans="1:8" x14ac:dyDescent="0.3">
      <c r="A145" s="8"/>
      <c r="B145" s="13"/>
      <c r="C145" s="8"/>
      <c r="D145" s="9"/>
      <c r="E145" s="10"/>
      <c r="F145" s="11"/>
      <c r="G145" s="12"/>
      <c r="H145" s="14"/>
    </row>
    <row r="146" spans="1:8" x14ac:dyDescent="0.3">
      <c r="A146" s="8"/>
      <c r="B146" s="13"/>
      <c r="C146" s="8"/>
      <c r="D146" s="9"/>
      <c r="E146" s="10"/>
      <c r="F146" s="11"/>
      <c r="G146" s="12"/>
      <c r="H146" s="14"/>
    </row>
    <row r="147" spans="1:8" x14ac:dyDescent="0.3">
      <c r="A147" s="8"/>
      <c r="B147" s="13"/>
      <c r="C147" s="8"/>
      <c r="D147" s="9"/>
      <c r="E147" s="10"/>
      <c r="F147" s="11"/>
      <c r="G147" s="12"/>
      <c r="H147" s="14"/>
    </row>
    <row r="148" spans="1:8" x14ac:dyDescent="0.3">
      <c r="A148" s="8"/>
      <c r="B148" s="13"/>
      <c r="C148" s="8"/>
      <c r="D148" s="9"/>
      <c r="E148" s="10"/>
      <c r="F148" s="11"/>
      <c r="G148" s="12"/>
      <c r="H148" s="14"/>
    </row>
    <row r="149" spans="1:8" x14ac:dyDescent="0.3">
      <c r="A149" s="8"/>
      <c r="B149" s="13"/>
      <c r="C149" s="8"/>
      <c r="D149" s="9"/>
      <c r="E149" s="10"/>
      <c r="F149" s="11"/>
      <c r="G149" s="12"/>
      <c r="H149" s="14"/>
    </row>
    <row r="150" spans="1:8" x14ac:dyDescent="0.3">
      <c r="A150" s="8"/>
      <c r="B150" s="13"/>
      <c r="C150" s="8"/>
      <c r="D150" s="9"/>
      <c r="E150" s="10"/>
      <c r="F150" s="11"/>
      <c r="G150" s="12"/>
      <c r="H150" s="14"/>
    </row>
    <row r="151" spans="1:8" x14ac:dyDescent="0.3">
      <c r="A151" s="8"/>
      <c r="B151" s="13"/>
      <c r="C151" s="8"/>
      <c r="D151" s="9"/>
      <c r="E151" s="10"/>
      <c r="F151" s="11"/>
      <c r="G151" s="12"/>
      <c r="H151" s="14"/>
    </row>
    <row r="152" spans="1:8" x14ac:dyDescent="0.3">
      <c r="A152" s="8"/>
      <c r="B152" s="13"/>
      <c r="C152" s="8"/>
      <c r="D152" s="9"/>
      <c r="E152" s="10"/>
      <c r="F152" s="11"/>
      <c r="G152" s="12"/>
      <c r="H152" s="14"/>
    </row>
    <row r="153" spans="1:8" x14ac:dyDescent="0.3">
      <c r="A153" s="8"/>
      <c r="B153" s="13"/>
      <c r="C153" s="8"/>
      <c r="D153" s="9"/>
      <c r="E153" s="10"/>
      <c r="F153" s="11"/>
      <c r="G153" s="12"/>
      <c r="H153" s="14"/>
    </row>
    <row r="154" spans="1:8" x14ac:dyDescent="0.3">
      <c r="A154" s="8"/>
      <c r="B154" s="13"/>
      <c r="C154" s="8"/>
      <c r="D154" s="9"/>
      <c r="E154" s="10"/>
      <c r="F154" s="11"/>
      <c r="G154" s="12"/>
      <c r="H154" s="14"/>
    </row>
    <row r="155" spans="1:8" x14ac:dyDescent="0.3">
      <c r="A155" s="8"/>
      <c r="B155" s="13"/>
      <c r="C155" s="8"/>
      <c r="D155" s="9"/>
      <c r="E155" s="10"/>
      <c r="F155" s="11"/>
      <c r="G155" s="12"/>
      <c r="H155" s="14"/>
    </row>
    <row r="156" spans="1:8" x14ac:dyDescent="0.3">
      <c r="A156" s="8"/>
      <c r="B156" s="13"/>
      <c r="C156" s="8"/>
      <c r="D156" s="9"/>
      <c r="E156" s="10"/>
      <c r="F156" s="11"/>
      <c r="G156" s="12"/>
      <c r="H156" s="14"/>
    </row>
    <row r="157" spans="1:8" x14ac:dyDescent="0.3">
      <c r="A157" s="8"/>
      <c r="B157" s="13"/>
      <c r="C157" s="8"/>
      <c r="D157" s="9"/>
      <c r="E157" s="10"/>
      <c r="F157" s="11"/>
      <c r="G157" s="12"/>
      <c r="H157" s="14"/>
    </row>
    <row r="158" spans="1:8" x14ac:dyDescent="0.3">
      <c r="A158" s="8"/>
      <c r="B158" s="13"/>
      <c r="C158" s="8"/>
      <c r="D158" s="9"/>
      <c r="E158" s="10"/>
      <c r="F158" s="11"/>
      <c r="G158" s="12"/>
      <c r="H158" s="14"/>
    </row>
    <row r="159" spans="1:8" x14ac:dyDescent="0.3">
      <c r="A159" s="8"/>
      <c r="B159" s="13"/>
      <c r="C159" s="8"/>
      <c r="D159" s="9"/>
      <c r="E159" s="10"/>
      <c r="F159" s="11"/>
      <c r="G159" s="12"/>
      <c r="H159" s="14"/>
    </row>
    <row r="160" spans="1:8" x14ac:dyDescent="0.3">
      <c r="A160" s="8"/>
      <c r="B160" s="13"/>
      <c r="C160" s="8"/>
      <c r="D160" s="9"/>
      <c r="E160" s="10"/>
      <c r="F160" s="11"/>
      <c r="G160" s="12"/>
      <c r="H160" s="14"/>
    </row>
    <row r="161" spans="1:8" x14ac:dyDescent="0.3">
      <c r="A161" s="8"/>
      <c r="B161" s="13"/>
      <c r="C161" s="8"/>
      <c r="D161" s="9"/>
      <c r="E161" s="10"/>
      <c r="F161" s="11"/>
      <c r="G161" s="12"/>
      <c r="H161" s="14"/>
    </row>
    <row r="162" spans="1:8" x14ac:dyDescent="0.3">
      <c r="A162" s="8"/>
      <c r="B162" s="13"/>
      <c r="C162" s="8"/>
      <c r="D162" s="9"/>
      <c r="E162" s="10"/>
      <c r="F162" s="11"/>
      <c r="G162" s="12"/>
      <c r="H162" s="14"/>
    </row>
    <row r="163" spans="1:8" x14ac:dyDescent="0.3">
      <c r="A163" s="8"/>
      <c r="B163" s="13"/>
      <c r="C163" s="8"/>
      <c r="D163" s="9"/>
      <c r="E163" s="10"/>
      <c r="F163" s="11"/>
      <c r="G163" s="12"/>
      <c r="H163" s="14"/>
    </row>
    <row r="164" spans="1:8" x14ac:dyDescent="0.3">
      <c r="A164" s="8"/>
      <c r="B164" s="13"/>
      <c r="C164" s="8"/>
      <c r="D164" s="9"/>
      <c r="E164" s="10"/>
      <c r="F164" s="11"/>
      <c r="G164" s="12"/>
      <c r="H164" s="14"/>
    </row>
    <row r="165" spans="1:8" x14ac:dyDescent="0.3">
      <c r="A165" s="8"/>
      <c r="B165" s="13"/>
      <c r="C165" s="8"/>
      <c r="D165" s="9"/>
      <c r="E165" s="10"/>
      <c r="F165" s="11"/>
      <c r="G165" s="12"/>
      <c r="H165" s="14"/>
    </row>
    <row r="166" spans="1:8" x14ac:dyDescent="0.3">
      <c r="A166" s="8"/>
      <c r="B166" s="13"/>
      <c r="C166" s="8"/>
      <c r="D166" s="9"/>
      <c r="E166" s="10"/>
      <c r="F166" s="11"/>
      <c r="G166" s="12"/>
      <c r="H166" s="14"/>
    </row>
    <row r="167" spans="1:8" x14ac:dyDescent="0.3">
      <c r="A167" s="8"/>
      <c r="B167" s="13"/>
      <c r="C167" s="8"/>
      <c r="D167" s="9"/>
      <c r="E167" s="10"/>
      <c r="F167" s="11"/>
      <c r="G167" s="12"/>
      <c r="H167" s="14"/>
    </row>
    <row r="168" spans="1:8" x14ac:dyDescent="0.3">
      <c r="A168" s="8"/>
      <c r="B168" s="13"/>
      <c r="C168" s="8"/>
      <c r="D168" s="9"/>
      <c r="E168" s="10"/>
      <c r="F168" s="11"/>
      <c r="G168" s="12"/>
      <c r="H168" s="14"/>
    </row>
    <row r="169" spans="1:8" x14ac:dyDescent="0.3">
      <c r="A169" s="8"/>
      <c r="B169" s="13"/>
      <c r="C169" s="8"/>
      <c r="D169" s="9"/>
      <c r="E169" s="10"/>
      <c r="F169" s="11"/>
      <c r="G169" s="12"/>
      <c r="H169" s="14"/>
    </row>
    <row r="170" spans="1:8" x14ac:dyDescent="0.3">
      <c r="A170" s="8"/>
      <c r="B170" s="13"/>
      <c r="C170" s="8"/>
      <c r="D170" s="9"/>
      <c r="E170" s="10"/>
      <c r="F170" s="11"/>
      <c r="G170" s="12"/>
      <c r="H170" s="14"/>
    </row>
    <row r="171" spans="1:8" x14ac:dyDescent="0.3">
      <c r="A171" s="8"/>
      <c r="B171" s="13"/>
      <c r="C171" s="8"/>
      <c r="D171" s="9"/>
      <c r="E171" s="10"/>
      <c r="F171" s="11"/>
      <c r="G171" s="12"/>
      <c r="H171" s="14"/>
    </row>
    <row r="172" spans="1:8" x14ac:dyDescent="0.3">
      <c r="A172" s="8"/>
      <c r="B172" s="13"/>
      <c r="C172" s="8"/>
      <c r="D172" s="9"/>
      <c r="E172" s="10"/>
      <c r="F172" s="11"/>
      <c r="G172" s="12"/>
      <c r="H172" s="14"/>
    </row>
    <row r="173" spans="1:8" x14ac:dyDescent="0.3">
      <c r="A173" s="8"/>
      <c r="B173" s="13"/>
      <c r="C173" s="8"/>
      <c r="D173" s="9"/>
      <c r="E173" s="10"/>
      <c r="F173" s="11"/>
      <c r="G173" s="12"/>
      <c r="H173" s="14"/>
    </row>
    <row r="174" spans="1:8" x14ac:dyDescent="0.3">
      <c r="A174" s="8"/>
      <c r="B174" s="13"/>
      <c r="C174" s="8"/>
      <c r="D174" s="9"/>
      <c r="E174" s="10"/>
      <c r="F174" s="11"/>
      <c r="G174" s="12"/>
      <c r="H174" s="14"/>
    </row>
    <row r="175" spans="1:8" x14ac:dyDescent="0.3">
      <c r="A175" s="8"/>
      <c r="B175" s="13"/>
      <c r="C175" s="8"/>
      <c r="D175" s="9"/>
      <c r="E175" s="10"/>
      <c r="F175" s="11"/>
      <c r="G175" s="12"/>
      <c r="H175" s="14"/>
    </row>
    <row r="176" spans="1:8" x14ac:dyDescent="0.3">
      <c r="A176" s="8"/>
      <c r="B176" s="13"/>
      <c r="C176" s="8"/>
      <c r="D176" s="9"/>
      <c r="E176" s="10"/>
      <c r="F176" s="11"/>
      <c r="G176" s="12"/>
      <c r="H176" s="14"/>
    </row>
    <row r="177" spans="1:8" x14ac:dyDescent="0.3">
      <c r="A177" s="8"/>
      <c r="B177" s="13"/>
      <c r="C177" s="8"/>
      <c r="D177" s="9"/>
      <c r="E177" s="10"/>
      <c r="F177" s="11"/>
      <c r="G177" s="12"/>
      <c r="H177" s="14"/>
    </row>
    <row r="178" spans="1:8" x14ac:dyDescent="0.3">
      <c r="A178" s="8"/>
      <c r="B178" s="13"/>
      <c r="C178" s="8"/>
      <c r="D178" s="9"/>
      <c r="E178" s="10"/>
      <c r="F178" s="11"/>
      <c r="G178" s="12"/>
      <c r="H178" s="14"/>
    </row>
    <row r="179" spans="1:8" x14ac:dyDescent="0.3">
      <c r="A179" s="8"/>
      <c r="B179" s="13"/>
      <c r="C179" s="8"/>
      <c r="D179" s="9"/>
      <c r="E179" s="10"/>
      <c r="F179" s="11"/>
      <c r="G179" s="12"/>
      <c r="H179" s="14"/>
    </row>
    <row r="180" spans="1:8" x14ac:dyDescent="0.3">
      <c r="A180" s="8"/>
      <c r="B180" s="13"/>
      <c r="C180" s="8"/>
      <c r="D180" s="9"/>
      <c r="E180" s="10"/>
      <c r="F180" s="11"/>
      <c r="G180" s="12"/>
      <c r="H180" s="14"/>
    </row>
    <row r="181" spans="1:8" x14ac:dyDescent="0.3">
      <c r="A181" s="8"/>
      <c r="B181" s="13"/>
      <c r="C181" s="8"/>
      <c r="D181" s="9"/>
      <c r="E181" s="10"/>
      <c r="F181" s="11"/>
      <c r="G181" s="12"/>
      <c r="H181" s="14"/>
    </row>
    <row r="182" spans="1:8" x14ac:dyDescent="0.3">
      <c r="A182" s="8"/>
      <c r="B182" s="13"/>
      <c r="C182" s="8"/>
      <c r="D182" s="9"/>
      <c r="E182" s="10"/>
      <c r="F182" s="11"/>
      <c r="G182" s="12"/>
      <c r="H182" s="14"/>
    </row>
    <row r="183" spans="1:8" x14ac:dyDescent="0.3">
      <c r="A183" s="8"/>
      <c r="B183" s="13"/>
      <c r="C183" s="8"/>
      <c r="D183" s="9"/>
      <c r="E183" s="10"/>
      <c r="F183" s="11"/>
      <c r="G183" s="12"/>
      <c r="H183" s="14"/>
    </row>
    <row r="184" spans="1:8" x14ac:dyDescent="0.3">
      <c r="A184" s="8"/>
      <c r="B184" s="13"/>
      <c r="C184" s="8"/>
      <c r="D184" s="9"/>
      <c r="E184" s="10"/>
      <c r="F184" s="11"/>
      <c r="G184" s="12"/>
      <c r="H184" s="14"/>
    </row>
    <row r="185" spans="1:8" x14ac:dyDescent="0.3">
      <c r="A185" s="8"/>
      <c r="B185" s="13"/>
      <c r="C185" s="8"/>
      <c r="D185" s="9"/>
      <c r="E185" s="10"/>
      <c r="F185" s="11"/>
      <c r="G185" s="12"/>
      <c r="H185" s="14"/>
    </row>
    <row r="186" spans="1:8" x14ac:dyDescent="0.3">
      <c r="A186" s="8"/>
      <c r="B186" s="13"/>
      <c r="C186" s="8"/>
      <c r="D186" s="9"/>
      <c r="E186" s="10"/>
      <c r="F186" s="11"/>
      <c r="G186" s="12"/>
      <c r="H186" s="14"/>
    </row>
    <row r="187" spans="1:8" x14ac:dyDescent="0.3">
      <c r="A187" s="8"/>
      <c r="B187" s="13"/>
      <c r="C187" s="8"/>
      <c r="D187" s="9"/>
      <c r="E187" s="10"/>
      <c r="F187" s="11"/>
      <c r="G187" s="12"/>
      <c r="H187" s="14"/>
    </row>
    <row r="188" spans="1:8" x14ac:dyDescent="0.3">
      <c r="A188" s="8"/>
      <c r="B188" s="13"/>
      <c r="C188" s="8"/>
      <c r="D188" s="9"/>
      <c r="E188" s="10"/>
      <c r="F188" s="11"/>
      <c r="G188" s="12"/>
      <c r="H188" s="14"/>
    </row>
    <row r="189" spans="1:8" x14ac:dyDescent="0.3">
      <c r="A189" s="8"/>
      <c r="B189" s="13"/>
      <c r="C189" s="8"/>
      <c r="D189" s="9"/>
      <c r="E189" s="10"/>
      <c r="F189" s="11"/>
      <c r="G189" s="12"/>
      <c r="H189" s="14"/>
    </row>
    <row r="190" spans="1:8" x14ac:dyDescent="0.3">
      <c r="A190" s="8"/>
      <c r="B190" s="13"/>
      <c r="C190" s="8"/>
      <c r="D190" s="9"/>
      <c r="E190" s="10"/>
      <c r="F190" s="11"/>
      <c r="G190" s="12"/>
      <c r="H190" s="14"/>
    </row>
    <row r="191" spans="1:8" x14ac:dyDescent="0.3">
      <c r="A191" s="8"/>
      <c r="B191" s="13"/>
      <c r="C191" s="8"/>
      <c r="D191" s="9"/>
      <c r="E191" s="10"/>
      <c r="F191" s="11"/>
      <c r="G191" s="12"/>
      <c r="H191" s="14"/>
    </row>
    <row r="192" spans="1:8" x14ac:dyDescent="0.3">
      <c r="A192" s="8"/>
      <c r="B192" s="13"/>
      <c r="C192" s="8"/>
      <c r="D192" s="9"/>
      <c r="E192" s="10"/>
      <c r="F192" s="11"/>
      <c r="G192" s="12"/>
      <c r="H192" s="14"/>
    </row>
    <row r="193" spans="1:8" x14ac:dyDescent="0.3">
      <c r="A193" s="8"/>
      <c r="B193" s="13"/>
      <c r="C193" s="8"/>
      <c r="D193" s="9"/>
      <c r="E193" s="10"/>
      <c r="F193" s="11"/>
      <c r="G193" s="12"/>
      <c r="H193" s="14"/>
    </row>
    <row r="194" spans="1:8" x14ac:dyDescent="0.3">
      <c r="A194" s="8"/>
      <c r="B194" s="13"/>
      <c r="C194" s="8"/>
      <c r="D194" s="9"/>
      <c r="E194" s="10"/>
      <c r="F194" s="11"/>
      <c r="G194" s="12"/>
      <c r="H194" s="14"/>
    </row>
    <row r="195" spans="1:8" x14ac:dyDescent="0.3">
      <c r="A195" s="8"/>
      <c r="B195" s="13"/>
      <c r="C195" s="8"/>
      <c r="D195" s="9"/>
      <c r="E195" s="10"/>
      <c r="F195" s="11"/>
      <c r="G195" s="12"/>
      <c r="H195" s="14"/>
    </row>
    <row r="196" spans="1:8" x14ac:dyDescent="0.3">
      <c r="A196" s="8"/>
      <c r="B196" s="13"/>
      <c r="C196" s="8"/>
      <c r="D196" s="9"/>
      <c r="E196" s="10"/>
      <c r="F196" s="11"/>
      <c r="G196" s="12"/>
      <c r="H196" s="14"/>
    </row>
    <row r="197" spans="1:8" x14ac:dyDescent="0.3">
      <c r="A197" s="8"/>
      <c r="B197" s="13"/>
      <c r="C197" s="8"/>
      <c r="D197" s="9"/>
      <c r="E197" s="10"/>
      <c r="F197" s="11"/>
      <c r="G197" s="12"/>
      <c r="H197" s="14"/>
    </row>
    <row r="198" spans="1:8" x14ac:dyDescent="0.3">
      <c r="A198" s="8"/>
      <c r="B198" s="13"/>
      <c r="C198" s="8"/>
      <c r="D198" s="9"/>
      <c r="E198" s="10"/>
      <c r="F198" s="11"/>
      <c r="G198" s="12"/>
      <c r="H198" s="14"/>
    </row>
    <row r="199" spans="1:8" x14ac:dyDescent="0.3">
      <c r="A199" s="8"/>
      <c r="B199" s="13"/>
      <c r="C199" s="8"/>
      <c r="D199" s="9"/>
      <c r="E199" s="10"/>
      <c r="F199" s="11"/>
      <c r="G199" s="12"/>
      <c r="H199" s="14"/>
    </row>
    <row r="200" spans="1:8" x14ac:dyDescent="0.3">
      <c r="A200" s="8"/>
      <c r="B200" s="13"/>
      <c r="C200" s="8"/>
      <c r="D200" s="9"/>
      <c r="E200" s="10"/>
      <c r="F200" s="11"/>
      <c r="G200" s="12"/>
      <c r="H200" s="14"/>
    </row>
    <row r="201" spans="1:8" x14ac:dyDescent="0.3">
      <c r="A201" s="8"/>
      <c r="B201" s="13"/>
      <c r="C201" s="8"/>
      <c r="D201" s="9"/>
      <c r="E201" s="10"/>
      <c r="F201" s="11"/>
      <c r="G201" s="12"/>
      <c r="H201" s="14"/>
    </row>
    <row r="202" spans="1:8" x14ac:dyDescent="0.3">
      <c r="A202" s="8"/>
      <c r="B202" s="13"/>
      <c r="C202" s="8"/>
      <c r="D202" s="9"/>
      <c r="E202" s="10"/>
      <c r="F202" s="11"/>
      <c r="G202" s="12"/>
      <c r="H202" s="14"/>
    </row>
    <row r="203" spans="1:8" x14ac:dyDescent="0.3">
      <c r="A203" s="8"/>
      <c r="B203" s="13"/>
      <c r="C203" s="8"/>
      <c r="D203" s="9"/>
      <c r="E203" s="10"/>
      <c r="F203" s="11"/>
      <c r="G203" s="12"/>
      <c r="H203" s="14"/>
    </row>
    <row r="204" spans="1:8" x14ac:dyDescent="0.3">
      <c r="A204" s="8"/>
      <c r="B204" s="13"/>
      <c r="C204" s="8"/>
      <c r="D204" s="9"/>
      <c r="E204" s="10"/>
      <c r="F204" s="11"/>
      <c r="G204" s="12"/>
      <c r="H204" s="14"/>
    </row>
    <row r="205" spans="1:8" x14ac:dyDescent="0.3">
      <c r="A205" s="8"/>
      <c r="B205" s="13"/>
      <c r="C205" s="8"/>
      <c r="D205" s="9"/>
      <c r="E205" s="10"/>
      <c r="F205" s="11"/>
      <c r="G205" s="12"/>
      <c r="H205" s="14"/>
    </row>
    <row r="206" spans="1:8" x14ac:dyDescent="0.3">
      <c r="A206" s="8"/>
      <c r="B206" s="13"/>
      <c r="C206" s="8"/>
      <c r="D206" s="9"/>
      <c r="E206" s="10"/>
      <c r="F206" s="11"/>
      <c r="G206" s="12"/>
      <c r="H206" s="14"/>
    </row>
    <row r="207" spans="1:8" x14ac:dyDescent="0.3">
      <c r="A207" s="8"/>
      <c r="B207" s="13"/>
      <c r="C207" s="8"/>
      <c r="D207" s="9"/>
      <c r="E207" s="10"/>
      <c r="F207" s="11"/>
      <c r="G207" s="12"/>
      <c r="H207" s="14"/>
    </row>
    <row r="208" spans="1:8" x14ac:dyDescent="0.3">
      <c r="A208" s="8"/>
      <c r="B208" s="13"/>
      <c r="C208" s="8"/>
      <c r="D208" s="9"/>
      <c r="E208" s="10"/>
      <c r="F208" s="11"/>
      <c r="G208" s="12"/>
      <c r="H208" s="14"/>
    </row>
    <row r="209" spans="1:8" x14ac:dyDescent="0.3">
      <c r="A209" s="8"/>
      <c r="B209" s="13"/>
      <c r="C209" s="8"/>
      <c r="D209" s="9"/>
      <c r="E209" s="10"/>
      <c r="F209" s="11"/>
      <c r="G209" s="12"/>
      <c r="H209" s="14"/>
    </row>
  </sheetData>
  <mergeCells count="11">
    <mergeCell ref="A6:B7"/>
    <mergeCell ref="C6:D7"/>
    <mergeCell ref="E6:F7"/>
    <mergeCell ref="G6:H7"/>
    <mergeCell ref="A8:H8"/>
    <mergeCell ref="A1:H1"/>
    <mergeCell ref="B3:H3"/>
    <mergeCell ref="A5:B5"/>
    <mergeCell ref="C5:D5"/>
    <mergeCell ref="E5:F5"/>
    <mergeCell ref="G5:H5"/>
  </mergeCells>
  <conditionalFormatting sqref="E10:E209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209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decimal" allowBlank="1" showInputMessage="1" showErrorMessage="1" errorTitle="Giá trị không hợp lệ" error="Nhập điểm từ 0 đến 10." sqref="F10:F209" xr:uid="{8A8806D9-ED35-4033-AD4D-401A089FD269}">
      <formula1>0</formula1>
      <formula2>10</formula2>
    </dataValidation>
    <dataValidation type="decimal" allowBlank="1" showInputMessage="1" showErrorMessage="1" errorTitle="Giá trị không hợp lệ" error="Nhập phần trăm từ 0% đến 100%." sqref="E10:E209" xr:uid="{310314F2-09D4-47EF-A4AD-47D6D3BB112E}">
      <formula1>0</formula1>
      <formula2>1</formula2>
    </dataValidation>
    <dataValidation type="list" allowBlank="1" showInputMessage="1" showErrorMessage="1" errorTitle="Trạng thái không hợp lệ" error="Chọn một trạng thái trong danh sách." sqref="D10:D209" xr:uid="{DA30497B-1031-4455-9AD4-51B688C4D34D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</dataValidations>
  <hyperlinks>
    <hyperlink ref="B3" r:id="rId1" display="06 - Ngôn ngữ/01 - Tiếng Anh/tu-hoc-phat-am-tieng-anh-nen-tang-ky-nang-doc.zip" xr:uid="{B2B7B2C8-1890-47B6-B20C-23B35CC68F3A}"/>
  </hyperlinks>
  <pageMargins left="0.7" right="0.7" top="0.75" bottom="0.75" header="0.3" footer="0.3"/>
  <tableParts count="1">
    <tablePart r:id="rId2"/>
  </tablePart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2320E-072D-4ED8-9289-0D89C5EEB1D2}">
  <dimension ref="A1:H209"/>
  <sheetViews>
    <sheetView tabSelected="1" workbookViewId="0"/>
  </sheetViews>
  <sheetFormatPr defaultRowHeight="14.4" x14ac:dyDescent="0.3"/>
  <cols>
    <col min="2" max="2" width="9" customWidth="1"/>
    <col min="4" max="4" width="10.88671875" customWidth="1"/>
    <col min="5" max="5" width="12" customWidth="1"/>
    <col min="6" max="6" width="10.33203125" customWidth="1"/>
    <col min="7" max="7" width="16.33203125" customWidth="1"/>
    <col min="8" max="8" width="9.109375" customWidth="1"/>
  </cols>
  <sheetData>
    <row r="1" spans="1:8" ht="23.4" x14ac:dyDescent="0.3">
      <c r="A1" s="55" t="s">
        <v>1443</v>
      </c>
      <c r="B1" s="55"/>
      <c r="C1" s="55"/>
      <c r="D1" s="55"/>
      <c r="E1" s="55"/>
      <c r="F1" s="55"/>
      <c r="G1" s="55"/>
      <c r="H1" s="55"/>
    </row>
    <row r="2" spans="1:8" x14ac:dyDescent="0.3">
      <c r="A2" s="6" t="s">
        <v>23</v>
      </c>
      <c r="B2" s="5" t="s">
        <v>1444</v>
      </c>
      <c r="C2" s="6" t="s">
        <v>25</v>
      </c>
      <c r="D2" s="5" t="s">
        <v>43</v>
      </c>
      <c r="E2" s="6" t="s">
        <v>26</v>
      </c>
      <c r="F2" s="5" t="s">
        <v>44</v>
      </c>
      <c r="G2" s="5"/>
      <c r="H2" s="5"/>
    </row>
    <row r="3" spans="1:8" x14ac:dyDescent="0.3">
      <c r="A3" s="6" t="s">
        <v>27</v>
      </c>
      <c r="B3" s="56" t="s">
        <v>1445</v>
      </c>
      <c r="C3" s="57"/>
      <c r="D3" s="57"/>
      <c r="E3" s="57"/>
      <c r="F3" s="57"/>
      <c r="G3" s="57"/>
      <c r="H3" s="57"/>
    </row>
    <row r="5" spans="1:8" x14ac:dyDescent="0.3">
      <c r="A5" s="58" t="s">
        <v>29</v>
      </c>
      <c r="B5" s="58"/>
      <c r="C5" s="58" t="s">
        <v>30</v>
      </c>
      <c r="D5" s="58"/>
      <c r="E5" s="58" t="s">
        <v>31</v>
      </c>
      <c r="F5" s="58"/>
      <c r="G5" s="58" t="s">
        <v>32</v>
      </c>
      <c r="H5" s="58"/>
    </row>
    <row r="6" spans="1:8" x14ac:dyDescent="0.3">
      <c r="A6" s="59">
        <f>COUNTA(B10:B10)</f>
        <v>1</v>
      </c>
      <c r="B6" s="59"/>
      <c r="C6" s="60">
        <f>COUNTIF(D10:D10,"Đã hoàn thành")</f>
        <v>0</v>
      </c>
      <c r="D6" s="60"/>
      <c r="E6" s="61">
        <f>IFERROR(AVERAGE(E10:E10),0)</f>
        <v>0</v>
      </c>
      <c r="F6" s="61"/>
      <c r="G6" s="62" t="str">
        <f>IFERROR(AVERAGE(F10:F10),"")</f>
        <v/>
      </c>
      <c r="H6" s="62"/>
    </row>
    <row r="7" spans="1:8" x14ac:dyDescent="0.3">
      <c r="A7" s="59"/>
      <c r="B7" s="59"/>
      <c r="C7" s="60"/>
      <c r="D7" s="60"/>
      <c r="E7" s="61"/>
      <c r="F7" s="61"/>
      <c r="G7" s="62"/>
      <c r="H7" s="62"/>
    </row>
    <row r="8" spans="1:8" x14ac:dyDescent="0.3">
      <c r="A8" s="63" t="s">
        <v>33</v>
      </c>
      <c r="B8" s="64"/>
      <c r="C8" s="64"/>
      <c r="D8" s="64"/>
      <c r="E8" s="64"/>
      <c r="F8" s="64"/>
      <c r="G8" s="64"/>
      <c r="H8" s="64"/>
    </row>
    <row r="9" spans="1:8" ht="43.2" x14ac:dyDescent="0.3">
      <c r="A9" s="7" t="s">
        <v>34</v>
      </c>
      <c r="B9" s="7" t="s">
        <v>35</v>
      </c>
      <c r="C9" s="7" t="s">
        <v>36</v>
      </c>
      <c r="D9" s="7" t="s">
        <v>10</v>
      </c>
      <c r="E9" s="7" t="s">
        <v>37</v>
      </c>
      <c r="F9" s="7" t="s">
        <v>38</v>
      </c>
      <c r="G9" s="7" t="s">
        <v>39</v>
      </c>
      <c r="H9" s="7" t="s">
        <v>40</v>
      </c>
    </row>
    <row r="10" spans="1:8" ht="30" customHeight="1" x14ac:dyDescent="0.3">
      <c r="A10" s="48">
        <f>1</f>
        <v>1</v>
      </c>
      <c r="B10" s="49" t="s">
        <v>1446</v>
      </c>
      <c r="C10" s="48">
        <f>10</f>
        <v>10</v>
      </c>
      <c r="D10" s="50" t="s">
        <v>11</v>
      </c>
      <c r="E10" s="51">
        <f>0</f>
        <v>0</v>
      </c>
      <c r="F10" s="52"/>
      <c r="G10" s="53"/>
      <c r="H10" s="54"/>
    </row>
    <row r="11" spans="1:8" x14ac:dyDescent="0.3">
      <c r="A11" s="8"/>
      <c r="B11" s="13"/>
      <c r="C11" s="8"/>
      <c r="D11" s="9"/>
      <c r="E11" s="10"/>
      <c r="F11" s="11"/>
      <c r="G11" s="12"/>
      <c r="H11" s="14"/>
    </row>
    <row r="12" spans="1:8" x14ac:dyDescent="0.3">
      <c r="A12" s="8"/>
      <c r="B12" s="13"/>
      <c r="C12" s="8"/>
      <c r="D12" s="9"/>
      <c r="E12" s="10"/>
      <c r="F12" s="11"/>
      <c r="G12" s="12"/>
      <c r="H12" s="14"/>
    </row>
    <row r="13" spans="1:8" x14ac:dyDescent="0.3">
      <c r="A13" s="8"/>
      <c r="B13" s="13"/>
      <c r="C13" s="8"/>
      <c r="D13" s="9"/>
      <c r="E13" s="10"/>
      <c r="F13" s="11"/>
      <c r="G13" s="12"/>
      <c r="H13" s="14"/>
    </row>
    <row r="14" spans="1:8" x14ac:dyDescent="0.3">
      <c r="A14" s="8"/>
      <c r="B14" s="13"/>
      <c r="C14" s="8"/>
      <c r="D14" s="9"/>
      <c r="E14" s="10"/>
      <c r="F14" s="11"/>
      <c r="G14" s="12"/>
      <c r="H14" s="14"/>
    </row>
    <row r="15" spans="1:8" x14ac:dyDescent="0.3">
      <c r="A15" s="8"/>
      <c r="B15" s="13"/>
      <c r="C15" s="8"/>
      <c r="D15" s="9"/>
      <c r="E15" s="10"/>
      <c r="F15" s="11"/>
      <c r="G15" s="12"/>
      <c r="H15" s="14"/>
    </row>
    <row r="16" spans="1:8" x14ac:dyDescent="0.3">
      <c r="A16" s="8"/>
      <c r="B16" s="13"/>
      <c r="C16" s="8"/>
      <c r="D16" s="9"/>
      <c r="E16" s="10"/>
      <c r="F16" s="11"/>
      <c r="G16" s="12"/>
      <c r="H16" s="14"/>
    </row>
    <row r="17" spans="1:8" x14ac:dyDescent="0.3">
      <c r="A17" s="8"/>
      <c r="B17" s="13"/>
      <c r="C17" s="8"/>
      <c r="D17" s="9"/>
      <c r="E17" s="10"/>
      <c r="F17" s="11"/>
      <c r="G17" s="12"/>
      <c r="H17" s="14"/>
    </row>
    <row r="18" spans="1:8" x14ac:dyDescent="0.3">
      <c r="A18" s="8"/>
      <c r="B18" s="13"/>
      <c r="C18" s="8"/>
      <c r="D18" s="9"/>
      <c r="E18" s="10"/>
      <c r="F18" s="11"/>
      <c r="G18" s="12"/>
      <c r="H18" s="14"/>
    </row>
    <row r="19" spans="1:8" x14ac:dyDescent="0.3">
      <c r="A19" s="8"/>
      <c r="B19" s="13"/>
      <c r="C19" s="8"/>
      <c r="D19" s="9"/>
      <c r="E19" s="10"/>
      <c r="F19" s="11"/>
      <c r="G19" s="12"/>
      <c r="H19" s="14"/>
    </row>
    <row r="20" spans="1:8" x14ac:dyDescent="0.3">
      <c r="A20" s="8"/>
      <c r="B20" s="13"/>
      <c r="C20" s="8"/>
      <c r="D20" s="9"/>
      <c r="E20" s="10"/>
      <c r="F20" s="11"/>
      <c r="G20" s="12"/>
      <c r="H20" s="14"/>
    </row>
    <row r="21" spans="1:8" x14ac:dyDescent="0.3">
      <c r="A21" s="8"/>
      <c r="B21" s="13"/>
      <c r="C21" s="8"/>
      <c r="D21" s="9"/>
      <c r="E21" s="10"/>
      <c r="F21" s="11"/>
      <c r="G21" s="12"/>
      <c r="H21" s="14"/>
    </row>
    <row r="22" spans="1:8" x14ac:dyDescent="0.3">
      <c r="A22" s="8"/>
      <c r="B22" s="13"/>
      <c r="C22" s="8"/>
      <c r="D22" s="9"/>
      <c r="E22" s="10"/>
      <c r="F22" s="11"/>
      <c r="G22" s="12"/>
      <c r="H22" s="14"/>
    </row>
    <row r="23" spans="1:8" x14ac:dyDescent="0.3">
      <c r="A23" s="8"/>
      <c r="B23" s="13"/>
      <c r="C23" s="8"/>
      <c r="D23" s="9"/>
      <c r="E23" s="10"/>
      <c r="F23" s="11"/>
      <c r="G23" s="12"/>
      <c r="H23" s="14"/>
    </row>
    <row r="24" spans="1:8" x14ac:dyDescent="0.3">
      <c r="A24" s="8"/>
      <c r="B24" s="13"/>
      <c r="C24" s="8"/>
      <c r="D24" s="9"/>
      <c r="E24" s="10"/>
      <c r="F24" s="11"/>
      <c r="G24" s="12"/>
      <c r="H24" s="14"/>
    </row>
    <row r="25" spans="1:8" x14ac:dyDescent="0.3">
      <c r="A25" s="8"/>
      <c r="B25" s="13"/>
      <c r="C25" s="8"/>
      <c r="D25" s="9"/>
      <c r="E25" s="10"/>
      <c r="F25" s="11"/>
      <c r="G25" s="12"/>
      <c r="H25" s="14"/>
    </row>
    <row r="26" spans="1:8" x14ac:dyDescent="0.3">
      <c r="A26" s="8"/>
      <c r="B26" s="13"/>
      <c r="C26" s="8"/>
      <c r="D26" s="9"/>
      <c r="E26" s="10"/>
      <c r="F26" s="11"/>
      <c r="G26" s="12"/>
      <c r="H26" s="14"/>
    </row>
    <row r="27" spans="1:8" x14ac:dyDescent="0.3">
      <c r="A27" s="8"/>
      <c r="B27" s="13"/>
      <c r="C27" s="8"/>
      <c r="D27" s="9"/>
      <c r="E27" s="10"/>
      <c r="F27" s="11"/>
      <c r="G27" s="12"/>
      <c r="H27" s="14"/>
    </row>
    <row r="28" spans="1:8" x14ac:dyDescent="0.3">
      <c r="A28" s="8"/>
      <c r="B28" s="13"/>
      <c r="C28" s="8"/>
      <c r="D28" s="9"/>
      <c r="E28" s="10"/>
      <c r="F28" s="11"/>
      <c r="G28" s="12"/>
      <c r="H28" s="14"/>
    </row>
    <row r="29" spans="1:8" x14ac:dyDescent="0.3">
      <c r="A29" s="8"/>
      <c r="B29" s="13"/>
      <c r="C29" s="8"/>
      <c r="D29" s="9"/>
      <c r="E29" s="10"/>
      <c r="F29" s="11"/>
      <c r="G29" s="12"/>
      <c r="H29" s="14"/>
    </row>
    <row r="30" spans="1:8" x14ac:dyDescent="0.3">
      <c r="A30" s="8"/>
      <c r="B30" s="13"/>
      <c r="C30" s="8"/>
      <c r="D30" s="9"/>
      <c r="E30" s="10"/>
      <c r="F30" s="11"/>
      <c r="G30" s="12"/>
      <c r="H30" s="14"/>
    </row>
    <row r="31" spans="1:8" x14ac:dyDescent="0.3">
      <c r="A31" s="8"/>
      <c r="B31" s="13"/>
      <c r="C31" s="8"/>
      <c r="D31" s="9"/>
      <c r="E31" s="10"/>
      <c r="F31" s="11"/>
      <c r="G31" s="12"/>
      <c r="H31" s="14"/>
    </row>
    <row r="32" spans="1:8" x14ac:dyDescent="0.3">
      <c r="A32" s="8"/>
      <c r="B32" s="13"/>
      <c r="C32" s="8"/>
      <c r="D32" s="9"/>
      <c r="E32" s="10"/>
      <c r="F32" s="11"/>
      <c r="G32" s="12"/>
      <c r="H32" s="14"/>
    </row>
    <row r="33" spans="1:8" x14ac:dyDescent="0.3">
      <c r="A33" s="8"/>
      <c r="B33" s="13"/>
      <c r="C33" s="8"/>
      <c r="D33" s="9"/>
      <c r="E33" s="10"/>
      <c r="F33" s="11"/>
      <c r="G33" s="12"/>
      <c r="H33" s="14"/>
    </row>
    <row r="34" spans="1:8" x14ac:dyDescent="0.3">
      <c r="A34" s="8"/>
      <c r="B34" s="13"/>
      <c r="C34" s="8"/>
      <c r="D34" s="9"/>
      <c r="E34" s="10"/>
      <c r="F34" s="11"/>
      <c r="G34" s="12"/>
      <c r="H34" s="14"/>
    </row>
    <row r="35" spans="1:8" x14ac:dyDescent="0.3">
      <c r="A35" s="8"/>
      <c r="B35" s="13"/>
      <c r="C35" s="8"/>
      <c r="D35" s="9"/>
      <c r="E35" s="10"/>
      <c r="F35" s="11"/>
      <c r="G35" s="12"/>
      <c r="H35" s="14"/>
    </row>
    <row r="36" spans="1:8" x14ac:dyDescent="0.3">
      <c r="A36" s="8"/>
      <c r="B36" s="13"/>
      <c r="C36" s="8"/>
      <c r="D36" s="9"/>
      <c r="E36" s="10"/>
      <c r="F36" s="11"/>
      <c r="G36" s="12"/>
      <c r="H36" s="14"/>
    </row>
    <row r="37" spans="1:8" x14ac:dyDescent="0.3">
      <c r="A37" s="8"/>
      <c r="B37" s="13"/>
      <c r="C37" s="8"/>
      <c r="D37" s="9"/>
      <c r="E37" s="10"/>
      <c r="F37" s="11"/>
      <c r="G37" s="12"/>
      <c r="H37" s="14"/>
    </row>
    <row r="38" spans="1:8" x14ac:dyDescent="0.3">
      <c r="A38" s="8"/>
      <c r="B38" s="13"/>
      <c r="C38" s="8"/>
      <c r="D38" s="9"/>
      <c r="E38" s="10"/>
      <c r="F38" s="11"/>
      <c r="G38" s="12"/>
      <c r="H38" s="14"/>
    </row>
    <row r="39" spans="1:8" x14ac:dyDescent="0.3">
      <c r="A39" s="8"/>
      <c r="B39" s="13"/>
      <c r="C39" s="8"/>
      <c r="D39" s="9"/>
      <c r="E39" s="10"/>
      <c r="F39" s="11"/>
      <c r="G39" s="12"/>
      <c r="H39" s="14"/>
    </row>
    <row r="40" spans="1:8" x14ac:dyDescent="0.3">
      <c r="A40" s="8"/>
      <c r="B40" s="13"/>
      <c r="C40" s="8"/>
      <c r="D40" s="9"/>
      <c r="E40" s="10"/>
      <c r="F40" s="11"/>
      <c r="G40" s="12"/>
      <c r="H40" s="14"/>
    </row>
    <row r="41" spans="1:8" x14ac:dyDescent="0.3">
      <c r="A41" s="8"/>
      <c r="B41" s="13"/>
      <c r="C41" s="8"/>
      <c r="D41" s="9"/>
      <c r="E41" s="10"/>
      <c r="F41" s="11"/>
      <c r="G41" s="12"/>
      <c r="H41" s="14"/>
    </row>
    <row r="42" spans="1:8" x14ac:dyDescent="0.3">
      <c r="A42" s="8"/>
      <c r="B42" s="13"/>
      <c r="C42" s="8"/>
      <c r="D42" s="9"/>
      <c r="E42" s="10"/>
      <c r="F42" s="11"/>
      <c r="G42" s="12"/>
      <c r="H42" s="14"/>
    </row>
    <row r="43" spans="1:8" x14ac:dyDescent="0.3">
      <c r="A43" s="8"/>
      <c r="B43" s="13"/>
      <c r="C43" s="8"/>
      <c r="D43" s="9"/>
      <c r="E43" s="10"/>
      <c r="F43" s="11"/>
      <c r="G43" s="12"/>
      <c r="H43" s="14"/>
    </row>
    <row r="44" spans="1:8" x14ac:dyDescent="0.3">
      <c r="A44" s="8"/>
      <c r="B44" s="13"/>
      <c r="C44" s="8"/>
      <c r="D44" s="9"/>
      <c r="E44" s="10"/>
      <c r="F44" s="11"/>
      <c r="G44" s="12"/>
      <c r="H44" s="14"/>
    </row>
    <row r="45" spans="1:8" x14ac:dyDescent="0.3">
      <c r="A45" s="8"/>
      <c r="B45" s="13"/>
      <c r="C45" s="8"/>
      <c r="D45" s="9"/>
      <c r="E45" s="10"/>
      <c r="F45" s="11"/>
      <c r="G45" s="12"/>
      <c r="H45" s="14"/>
    </row>
    <row r="46" spans="1:8" x14ac:dyDescent="0.3">
      <c r="A46" s="8"/>
      <c r="B46" s="13"/>
      <c r="C46" s="8"/>
      <c r="D46" s="9"/>
      <c r="E46" s="10"/>
      <c r="F46" s="11"/>
      <c r="G46" s="12"/>
      <c r="H46" s="14"/>
    </row>
    <row r="47" spans="1:8" x14ac:dyDescent="0.3">
      <c r="A47" s="8"/>
      <c r="B47" s="13"/>
      <c r="C47" s="8"/>
      <c r="D47" s="9"/>
      <c r="E47" s="10"/>
      <c r="F47" s="11"/>
      <c r="G47" s="12"/>
      <c r="H47" s="14"/>
    </row>
    <row r="48" spans="1:8" x14ac:dyDescent="0.3">
      <c r="A48" s="8"/>
      <c r="B48" s="13"/>
      <c r="C48" s="8"/>
      <c r="D48" s="9"/>
      <c r="E48" s="10"/>
      <c r="F48" s="11"/>
      <c r="G48" s="12"/>
      <c r="H48" s="14"/>
    </row>
    <row r="49" spans="1:8" x14ac:dyDescent="0.3">
      <c r="A49" s="8"/>
      <c r="B49" s="13"/>
      <c r="C49" s="8"/>
      <c r="D49" s="9"/>
      <c r="E49" s="10"/>
      <c r="F49" s="11"/>
      <c r="G49" s="12"/>
      <c r="H49" s="14"/>
    </row>
    <row r="50" spans="1:8" x14ac:dyDescent="0.3">
      <c r="A50" s="8"/>
      <c r="B50" s="13"/>
      <c r="C50" s="8"/>
      <c r="D50" s="9"/>
      <c r="E50" s="10"/>
      <c r="F50" s="11"/>
      <c r="G50" s="12"/>
      <c r="H50" s="14"/>
    </row>
    <row r="51" spans="1:8" x14ac:dyDescent="0.3">
      <c r="A51" s="8"/>
      <c r="B51" s="13"/>
      <c r="C51" s="8"/>
      <c r="D51" s="9"/>
      <c r="E51" s="10"/>
      <c r="F51" s="11"/>
      <c r="G51" s="12"/>
      <c r="H51" s="14"/>
    </row>
    <row r="52" spans="1:8" x14ac:dyDescent="0.3">
      <c r="A52" s="8"/>
      <c r="B52" s="13"/>
      <c r="C52" s="8"/>
      <c r="D52" s="9"/>
      <c r="E52" s="10"/>
      <c r="F52" s="11"/>
      <c r="G52" s="12"/>
      <c r="H52" s="14"/>
    </row>
    <row r="53" spans="1:8" x14ac:dyDescent="0.3">
      <c r="A53" s="8"/>
      <c r="B53" s="13"/>
      <c r="C53" s="8"/>
      <c r="D53" s="9"/>
      <c r="E53" s="10"/>
      <c r="F53" s="11"/>
      <c r="G53" s="12"/>
      <c r="H53" s="14"/>
    </row>
    <row r="54" spans="1:8" x14ac:dyDescent="0.3">
      <c r="A54" s="8"/>
      <c r="B54" s="13"/>
      <c r="C54" s="8"/>
      <c r="D54" s="9"/>
      <c r="E54" s="10"/>
      <c r="F54" s="11"/>
      <c r="G54" s="12"/>
      <c r="H54" s="14"/>
    </row>
    <row r="55" spans="1:8" x14ac:dyDescent="0.3">
      <c r="A55" s="8"/>
      <c r="B55" s="13"/>
      <c r="C55" s="8"/>
      <c r="D55" s="9"/>
      <c r="E55" s="10"/>
      <c r="F55" s="11"/>
      <c r="G55" s="12"/>
      <c r="H55" s="14"/>
    </row>
    <row r="56" spans="1:8" x14ac:dyDescent="0.3">
      <c r="A56" s="8"/>
      <c r="B56" s="13"/>
      <c r="C56" s="8"/>
      <c r="D56" s="9"/>
      <c r="E56" s="10"/>
      <c r="F56" s="11"/>
      <c r="G56" s="12"/>
      <c r="H56" s="14"/>
    </row>
    <row r="57" spans="1:8" x14ac:dyDescent="0.3">
      <c r="A57" s="8"/>
      <c r="B57" s="13"/>
      <c r="C57" s="8"/>
      <c r="D57" s="9"/>
      <c r="E57" s="10"/>
      <c r="F57" s="11"/>
      <c r="G57" s="12"/>
      <c r="H57" s="14"/>
    </row>
    <row r="58" spans="1:8" x14ac:dyDescent="0.3">
      <c r="A58" s="8"/>
      <c r="B58" s="13"/>
      <c r="C58" s="8"/>
      <c r="D58" s="9"/>
      <c r="E58" s="10"/>
      <c r="F58" s="11"/>
      <c r="G58" s="12"/>
      <c r="H58" s="14"/>
    </row>
    <row r="59" spans="1:8" x14ac:dyDescent="0.3">
      <c r="A59" s="8"/>
      <c r="B59" s="13"/>
      <c r="C59" s="8"/>
      <c r="D59" s="9"/>
      <c r="E59" s="10"/>
      <c r="F59" s="11"/>
      <c r="G59" s="12"/>
      <c r="H59" s="14"/>
    </row>
    <row r="60" spans="1:8" x14ac:dyDescent="0.3">
      <c r="A60" s="8"/>
      <c r="B60" s="13"/>
      <c r="C60" s="8"/>
      <c r="D60" s="9"/>
      <c r="E60" s="10"/>
      <c r="F60" s="11"/>
      <c r="G60" s="12"/>
      <c r="H60" s="14"/>
    </row>
    <row r="61" spans="1:8" x14ac:dyDescent="0.3">
      <c r="A61" s="8"/>
      <c r="B61" s="13"/>
      <c r="C61" s="8"/>
      <c r="D61" s="9"/>
      <c r="E61" s="10"/>
      <c r="F61" s="11"/>
      <c r="G61" s="12"/>
      <c r="H61" s="14"/>
    </row>
    <row r="62" spans="1:8" x14ac:dyDescent="0.3">
      <c r="A62" s="8"/>
      <c r="B62" s="13"/>
      <c r="C62" s="8"/>
      <c r="D62" s="9"/>
      <c r="E62" s="10"/>
      <c r="F62" s="11"/>
      <c r="G62" s="12"/>
      <c r="H62" s="14"/>
    </row>
    <row r="63" spans="1:8" x14ac:dyDescent="0.3">
      <c r="A63" s="8"/>
      <c r="B63" s="13"/>
      <c r="C63" s="8"/>
      <c r="D63" s="9"/>
      <c r="E63" s="10"/>
      <c r="F63" s="11"/>
      <c r="G63" s="12"/>
      <c r="H63" s="14"/>
    </row>
    <row r="64" spans="1:8" x14ac:dyDescent="0.3">
      <c r="A64" s="8"/>
      <c r="B64" s="13"/>
      <c r="C64" s="8"/>
      <c r="D64" s="9"/>
      <c r="E64" s="10"/>
      <c r="F64" s="11"/>
      <c r="G64" s="12"/>
      <c r="H64" s="14"/>
    </row>
    <row r="65" spans="1:8" x14ac:dyDescent="0.3">
      <c r="A65" s="8"/>
      <c r="B65" s="13"/>
      <c r="C65" s="8"/>
      <c r="D65" s="9"/>
      <c r="E65" s="10"/>
      <c r="F65" s="11"/>
      <c r="G65" s="12"/>
      <c r="H65" s="14"/>
    </row>
    <row r="66" spans="1:8" x14ac:dyDescent="0.3">
      <c r="A66" s="8"/>
      <c r="B66" s="13"/>
      <c r="C66" s="8"/>
      <c r="D66" s="9"/>
      <c r="E66" s="10"/>
      <c r="F66" s="11"/>
      <c r="G66" s="12"/>
      <c r="H66" s="14"/>
    </row>
    <row r="67" spans="1:8" x14ac:dyDescent="0.3">
      <c r="A67" s="8"/>
      <c r="B67" s="13"/>
      <c r="C67" s="8"/>
      <c r="D67" s="9"/>
      <c r="E67" s="10"/>
      <c r="F67" s="11"/>
      <c r="G67" s="12"/>
      <c r="H67" s="14"/>
    </row>
    <row r="68" spans="1:8" x14ac:dyDescent="0.3">
      <c r="A68" s="8"/>
      <c r="B68" s="13"/>
      <c r="C68" s="8"/>
      <c r="D68" s="9"/>
      <c r="E68" s="10"/>
      <c r="F68" s="11"/>
      <c r="G68" s="12"/>
      <c r="H68" s="14"/>
    </row>
    <row r="69" spans="1:8" x14ac:dyDescent="0.3">
      <c r="A69" s="8"/>
      <c r="B69" s="13"/>
      <c r="C69" s="8"/>
      <c r="D69" s="9"/>
      <c r="E69" s="10"/>
      <c r="F69" s="11"/>
      <c r="G69" s="12"/>
      <c r="H69" s="14"/>
    </row>
    <row r="70" spans="1:8" x14ac:dyDescent="0.3">
      <c r="A70" s="8"/>
      <c r="B70" s="13"/>
      <c r="C70" s="8"/>
      <c r="D70" s="9"/>
      <c r="E70" s="10"/>
      <c r="F70" s="11"/>
      <c r="G70" s="12"/>
      <c r="H70" s="14"/>
    </row>
    <row r="71" spans="1:8" x14ac:dyDescent="0.3">
      <c r="A71" s="8"/>
      <c r="B71" s="13"/>
      <c r="C71" s="8"/>
      <c r="D71" s="9"/>
      <c r="E71" s="10"/>
      <c r="F71" s="11"/>
      <c r="G71" s="12"/>
      <c r="H71" s="14"/>
    </row>
    <row r="72" spans="1:8" x14ac:dyDescent="0.3">
      <c r="A72" s="8"/>
      <c r="B72" s="13"/>
      <c r="C72" s="8"/>
      <c r="D72" s="9"/>
      <c r="E72" s="10"/>
      <c r="F72" s="11"/>
      <c r="G72" s="12"/>
      <c r="H72" s="14"/>
    </row>
    <row r="73" spans="1:8" x14ac:dyDescent="0.3">
      <c r="A73" s="8"/>
      <c r="B73" s="13"/>
      <c r="C73" s="8"/>
      <c r="D73" s="9"/>
      <c r="E73" s="10"/>
      <c r="F73" s="11"/>
      <c r="G73" s="12"/>
      <c r="H73" s="14"/>
    </row>
    <row r="74" spans="1:8" x14ac:dyDescent="0.3">
      <c r="A74" s="8"/>
      <c r="B74" s="13"/>
      <c r="C74" s="8"/>
      <c r="D74" s="9"/>
      <c r="E74" s="10"/>
      <c r="F74" s="11"/>
      <c r="G74" s="12"/>
      <c r="H74" s="14"/>
    </row>
    <row r="75" spans="1:8" x14ac:dyDescent="0.3">
      <c r="A75" s="8"/>
      <c r="B75" s="13"/>
      <c r="C75" s="8"/>
      <c r="D75" s="9"/>
      <c r="E75" s="10"/>
      <c r="F75" s="11"/>
      <c r="G75" s="12"/>
      <c r="H75" s="14"/>
    </row>
    <row r="76" spans="1:8" x14ac:dyDescent="0.3">
      <c r="A76" s="8"/>
      <c r="B76" s="13"/>
      <c r="C76" s="8"/>
      <c r="D76" s="9"/>
      <c r="E76" s="10"/>
      <c r="F76" s="11"/>
      <c r="G76" s="12"/>
      <c r="H76" s="14"/>
    </row>
    <row r="77" spans="1:8" x14ac:dyDescent="0.3">
      <c r="A77" s="8"/>
      <c r="B77" s="13"/>
      <c r="C77" s="8"/>
      <c r="D77" s="9"/>
      <c r="E77" s="10"/>
      <c r="F77" s="11"/>
      <c r="G77" s="12"/>
      <c r="H77" s="14"/>
    </row>
    <row r="78" spans="1:8" x14ac:dyDescent="0.3">
      <c r="A78" s="8"/>
      <c r="B78" s="13"/>
      <c r="C78" s="8"/>
      <c r="D78" s="9"/>
      <c r="E78" s="10"/>
      <c r="F78" s="11"/>
      <c r="G78" s="12"/>
      <c r="H78" s="14"/>
    </row>
    <row r="79" spans="1:8" x14ac:dyDescent="0.3">
      <c r="A79" s="8"/>
      <c r="B79" s="13"/>
      <c r="C79" s="8"/>
      <c r="D79" s="9"/>
      <c r="E79" s="10"/>
      <c r="F79" s="11"/>
      <c r="G79" s="12"/>
      <c r="H79" s="14"/>
    </row>
    <row r="80" spans="1:8" x14ac:dyDescent="0.3">
      <c r="A80" s="8"/>
      <c r="B80" s="13"/>
      <c r="C80" s="8"/>
      <c r="D80" s="9"/>
      <c r="E80" s="10"/>
      <c r="F80" s="11"/>
      <c r="G80" s="12"/>
      <c r="H80" s="14"/>
    </row>
    <row r="81" spans="1:8" x14ac:dyDescent="0.3">
      <c r="A81" s="8"/>
      <c r="B81" s="13"/>
      <c r="C81" s="8"/>
      <c r="D81" s="9"/>
      <c r="E81" s="10"/>
      <c r="F81" s="11"/>
      <c r="G81" s="12"/>
      <c r="H81" s="14"/>
    </row>
    <row r="82" spans="1:8" x14ac:dyDescent="0.3">
      <c r="A82" s="8"/>
      <c r="B82" s="13"/>
      <c r="C82" s="8"/>
      <c r="D82" s="9"/>
      <c r="E82" s="10"/>
      <c r="F82" s="11"/>
      <c r="G82" s="12"/>
      <c r="H82" s="14"/>
    </row>
    <row r="83" spans="1:8" x14ac:dyDescent="0.3">
      <c r="A83" s="8"/>
      <c r="B83" s="13"/>
      <c r="C83" s="8"/>
      <c r="D83" s="9"/>
      <c r="E83" s="10"/>
      <c r="F83" s="11"/>
      <c r="G83" s="12"/>
      <c r="H83" s="14"/>
    </row>
    <row r="84" spans="1:8" x14ac:dyDescent="0.3">
      <c r="A84" s="8"/>
      <c r="B84" s="13"/>
      <c r="C84" s="8"/>
      <c r="D84" s="9"/>
      <c r="E84" s="10"/>
      <c r="F84" s="11"/>
      <c r="G84" s="12"/>
      <c r="H84" s="14"/>
    </row>
    <row r="85" spans="1:8" x14ac:dyDescent="0.3">
      <c r="A85" s="8"/>
      <c r="B85" s="13"/>
      <c r="C85" s="8"/>
      <c r="D85" s="9"/>
      <c r="E85" s="10"/>
      <c r="F85" s="11"/>
      <c r="G85" s="12"/>
      <c r="H85" s="14"/>
    </row>
    <row r="86" spans="1:8" x14ac:dyDescent="0.3">
      <c r="A86" s="8"/>
      <c r="B86" s="13"/>
      <c r="C86" s="8"/>
      <c r="D86" s="9"/>
      <c r="E86" s="10"/>
      <c r="F86" s="11"/>
      <c r="G86" s="12"/>
      <c r="H86" s="14"/>
    </row>
    <row r="87" spans="1:8" x14ac:dyDescent="0.3">
      <c r="A87" s="8"/>
      <c r="B87" s="13"/>
      <c r="C87" s="8"/>
      <c r="D87" s="9"/>
      <c r="E87" s="10"/>
      <c r="F87" s="11"/>
      <c r="G87" s="12"/>
      <c r="H87" s="14"/>
    </row>
    <row r="88" spans="1:8" x14ac:dyDescent="0.3">
      <c r="A88" s="8"/>
      <c r="B88" s="13"/>
      <c r="C88" s="8"/>
      <c r="D88" s="9"/>
      <c r="E88" s="10"/>
      <c r="F88" s="11"/>
      <c r="G88" s="12"/>
      <c r="H88" s="14"/>
    </row>
    <row r="89" spans="1:8" x14ac:dyDescent="0.3">
      <c r="A89" s="8"/>
      <c r="B89" s="13"/>
      <c r="C89" s="8"/>
      <c r="D89" s="9"/>
      <c r="E89" s="10"/>
      <c r="F89" s="11"/>
      <c r="G89" s="12"/>
      <c r="H89" s="14"/>
    </row>
    <row r="90" spans="1:8" x14ac:dyDescent="0.3">
      <c r="A90" s="8"/>
      <c r="B90" s="13"/>
      <c r="C90" s="8"/>
      <c r="D90" s="9"/>
      <c r="E90" s="10"/>
      <c r="F90" s="11"/>
      <c r="G90" s="12"/>
      <c r="H90" s="14"/>
    </row>
    <row r="91" spans="1:8" x14ac:dyDescent="0.3">
      <c r="A91" s="8"/>
      <c r="B91" s="13"/>
      <c r="C91" s="8"/>
      <c r="D91" s="9"/>
      <c r="E91" s="10"/>
      <c r="F91" s="11"/>
      <c r="G91" s="12"/>
      <c r="H91" s="14"/>
    </row>
    <row r="92" spans="1:8" x14ac:dyDescent="0.3">
      <c r="A92" s="8"/>
      <c r="B92" s="13"/>
      <c r="C92" s="8"/>
      <c r="D92" s="9"/>
      <c r="E92" s="10"/>
      <c r="F92" s="11"/>
      <c r="G92" s="12"/>
      <c r="H92" s="14"/>
    </row>
    <row r="93" spans="1:8" x14ac:dyDescent="0.3">
      <c r="A93" s="8"/>
      <c r="B93" s="13"/>
      <c r="C93" s="8"/>
      <c r="D93" s="9"/>
      <c r="E93" s="10"/>
      <c r="F93" s="11"/>
      <c r="G93" s="12"/>
      <c r="H93" s="14"/>
    </row>
    <row r="94" spans="1:8" x14ac:dyDescent="0.3">
      <c r="A94" s="8"/>
      <c r="B94" s="13"/>
      <c r="C94" s="8"/>
      <c r="D94" s="9"/>
      <c r="E94" s="10"/>
      <c r="F94" s="11"/>
      <c r="G94" s="12"/>
      <c r="H94" s="14"/>
    </row>
    <row r="95" spans="1:8" x14ac:dyDescent="0.3">
      <c r="A95" s="8"/>
      <c r="B95" s="13"/>
      <c r="C95" s="8"/>
      <c r="D95" s="9"/>
      <c r="E95" s="10"/>
      <c r="F95" s="11"/>
      <c r="G95" s="12"/>
      <c r="H95" s="14"/>
    </row>
    <row r="96" spans="1:8" x14ac:dyDescent="0.3">
      <c r="A96" s="8"/>
      <c r="B96" s="13"/>
      <c r="C96" s="8"/>
      <c r="D96" s="9"/>
      <c r="E96" s="10"/>
      <c r="F96" s="11"/>
      <c r="G96" s="12"/>
      <c r="H96" s="14"/>
    </row>
    <row r="97" spans="1:8" x14ac:dyDescent="0.3">
      <c r="A97" s="8"/>
      <c r="B97" s="13"/>
      <c r="C97" s="8"/>
      <c r="D97" s="9"/>
      <c r="E97" s="10"/>
      <c r="F97" s="11"/>
      <c r="G97" s="12"/>
      <c r="H97" s="14"/>
    </row>
    <row r="98" spans="1:8" x14ac:dyDescent="0.3">
      <c r="A98" s="8"/>
      <c r="B98" s="13"/>
      <c r="C98" s="8"/>
      <c r="D98" s="9"/>
      <c r="E98" s="10"/>
      <c r="F98" s="11"/>
      <c r="G98" s="12"/>
      <c r="H98" s="14"/>
    </row>
    <row r="99" spans="1:8" x14ac:dyDescent="0.3">
      <c r="A99" s="8"/>
      <c r="B99" s="13"/>
      <c r="C99" s="8"/>
      <c r="D99" s="9"/>
      <c r="E99" s="10"/>
      <c r="F99" s="11"/>
      <c r="G99" s="12"/>
      <c r="H99" s="14"/>
    </row>
    <row r="100" spans="1:8" x14ac:dyDescent="0.3">
      <c r="A100" s="8"/>
      <c r="B100" s="13"/>
      <c r="C100" s="8"/>
      <c r="D100" s="9"/>
      <c r="E100" s="10"/>
      <c r="F100" s="11"/>
      <c r="G100" s="12"/>
      <c r="H100" s="14"/>
    </row>
    <row r="101" spans="1:8" x14ac:dyDescent="0.3">
      <c r="A101" s="8"/>
      <c r="B101" s="13"/>
      <c r="C101" s="8"/>
      <c r="D101" s="9"/>
      <c r="E101" s="10"/>
      <c r="F101" s="11"/>
      <c r="G101" s="12"/>
      <c r="H101" s="14"/>
    </row>
    <row r="102" spans="1:8" x14ac:dyDescent="0.3">
      <c r="A102" s="8"/>
      <c r="B102" s="13"/>
      <c r="C102" s="8"/>
      <c r="D102" s="9"/>
      <c r="E102" s="10"/>
      <c r="F102" s="11"/>
      <c r="G102" s="12"/>
      <c r="H102" s="14"/>
    </row>
    <row r="103" spans="1:8" x14ac:dyDescent="0.3">
      <c r="A103" s="8"/>
      <c r="B103" s="13"/>
      <c r="C103" s="8"/>
      <c r="D103" s="9"/>
      <c r="E103" s="10"/>
      <c r="F103" s="11"/>
      <c r="G103" s="12"/>
      <c r="H103" s="14"/>
    </row>
    <row r="104" spans="1:8" x14ac:dyDescent="0.3">
      <c r="A104" s="8"/>
      <c r="B104" s="13"/>
      <c r="C104" s="8"/>
      <c r="D104" s="9"/>
      <c r="E104" s="10"/>
      <c r="F104" s="11"/>
      <c r="G104" s="12"/>
      <c r="H104" s="14"/>
    </row>
    <row r="105" spans="1:8" x14ac:dyDescent="0.3">
      <c r="A105" s="8"/>
      <c r="B105" s="13"/>
      <c r="C105" s="8"/>
      <c r="D105" s="9"/>
      <c r="E105" s="10"/>
      <c r="F105" s="11"/>
      <c r="G105" s="12"/>
      <c r="H105" s="14"/>
    </row>
    <row r="106" spans="1:8" x14ac:dyDescent="0.3">
      <c r="A106" s="8"/>
      <c r="B106" s="13"/>
      <c r="C106" s="8"/>
      <c r="D106" s="9"/>
      <c r="E106" s="10"/>
      <c r="F106" s="11"/>
      <c r="G106" s="12"/>
      <c r="H106" s="14"/>
    </row>
    <row r="107" spans="1:8" x14ac:dyDescent="0.3">
      <c r="A107" s="8"/>
      <c r="B107" s="13"/>
      <c r="C107" s="8"/>
      <c r="D107" s="9"/>
      <c r="E107" s="10"/>
      <c r="F107" s="11"/>
      <c r="G107" s="12"/>
      <c r="H107" s="14"/>
    </row>
    <row r="108" spans="1:8" x14ac:dyDescent="0.3">
      <c r="A108" s="8"/>
      <c r="B108" s="13"/>
      <c r="C108" s="8"/>
      <c r="D108" s="9"/>
      <c r="E108" s="10"/>
      <c r="F108" s="11"/>
      <c r="G108" s="12"/>
      <c r="H108" s="14"/>
    </row>
    <row r="109" spans="1:8" x14ac:dyDescent="0.3">
      <c r="A109" s="8"/>
      <c r="B109" s="13"/>
      <c r="C109" s="8"/>
      <c r="D109" s="9"/>
      <c r="E109" s="10"/>
      <c r="F109" s="11"/>
      <c r="G109" s="12"/>
      <c r="H109" s="14"/>
    </row>
    <row r="110" spans="1:8" x14ac:dyDescent="0.3">
      <c r="A110" s="8"/>
      <c r="B110" s="13"/>
      <c r="C110" s="8"/>
      <c r="D110" s="9"/>
      <c r="E110" s="10"/>
      <c r="F110" s="11"/>
      <c r="G110" s="12"/>
      <c r="H110" s="14"/>
    </row>
    <row r="111" spans="1:8" x14ac:dyDescent="0.3">
      <c r="A111" s="8"/>
      <c r="B111" s="13"/>
      <c r="C111" s="8"/>
      <c r="D111" s="9"/>
      <c r="E111" s="10"/>
      <c r="F111" s="11"/>
      <c r="G111" s="12"/>
      <c r="H111" s="14"/>
    </row>
    <row r="112" spans="1:8" x14ac:dyDescent="0.3">
      <c r="A112" s="8"/>
      <c r="B112" s="13"/>
      <c r="C112" s="8"/>
      <c r="D112" s="9"/>
      <c r="E112" s="10"/>
      <c r="F112" s="11"/>
      <c r="G112" s="12"/>
      <c r="H112" s="14"/>
    </row>
    <row r="113" spans="1:8" x14ac:dyDescent="0.3">
      <c r="A113" s="8"/>
      <c r="B113" s="13"/>
      <c r="C113" s="8"/>
      <c r="D113" s="9"/>
      <c r="E113" s="10"/>
      <c r="F113" s="11"/>
      <c r="G113" s="12"/>
      <c r="H113" s="14"/>
    </row>
    <row r="114" spans="1:8" x14ac:dyDescent="0.3">
      <c r="A114" s="8"/>
      <c r="B114" s="13"/>
      <c r="C114" s="8"/>
      <c r="D114" s="9"/>
      <c r="E114" s="10"/>
      <c r="F114" s="11"/>
      <c r="G114" s="12"/>
      <c r="H114" s="14"/>
    </row>
    <row r="115" spans="1:8" x14ac:dyDescent="0.3">
      <c r="A115" s="8"/>
      <c r="B115" s="13"/>
      <c r="C115" s="8"/>
      <c r="D115" s="9"/>
      <c r="E115" s="10"/>
      <c r="F115" s="11"/>
      <c r="G115" s="12"/>
      <c r="H115" s="14"/>
    </row>
    <row r="116" spans="1:8" x14ac:dyDescent="0.3">
      <c r="A116" s="8"/>
      <c r="B116" s="13"/>
      <c r="C116" s="8"/>
      <c r="D116" s="9"/>
      <c r="E116" s="10"/>
      <c r="F116" s="11"/>
      <c r="G116" s="12"/>
      <c r="H116" s="14"/>
    </row>
    <row r="117" spans="1:8" x14ac:dyDescent="0.3">
      <c r="A117" s="8"/>
      <c r="B117" s="13"/>
      <c r="C117" s="8"/>
      <c r="D117" s="9"/>
      <c r="E117" s="10"/>
      <c r="F117" s="11"/>
      <c r="G117" s="12"/>
      <c r="H117" s="14"/>
    </row>
    <row r="118" spans="1:8" x14ac:dyDescent="0.3">
      <c r="A118" s="8"/>
      <c r="B118" s="13"/>
      <c r="C118" s="8"/>
      <c r="D118" s="9"/>
      <c r="E118" s="10"/>
      <c r="F118" s="11"/>
      <c r="G118" s="12"/>
      <c r="H118" s="14"/>
    </row>
    <row r="119" spans="1:8" x14ac:dyDescent="0.3">
      <c r="A119" s="8"/>
      <c r="B119" s="13"/>
      <c r="C119" s="8"/>
      <c r="D119" s="9"/>
      <c r="E119" s="10"/>
      <c r="F119" s="11"/>
      <c r="G119" s="12"/>
      <c r="H119" s="14"/>
    </row>
    <row r="120" spans="1:8" x14ac:dyDescent="0.3">
      <c r="A120" s="8"/>
      <c r="B120" s="13"/>
      <c r="C120" s="8"/>
      <c r="D120" s="9"/>
      <c r="E120" s="10"/>
      <c r="F120" s="11"/>
      <c r="G120" s="12"/>
      <c r="H120" s="14"/>
    </row>
    <row r="121" spans="1:8" x14ac:dyDescent="0.3">
      <c r="A121" s="8"/>
      <c r="B121" s="13"/>
      <c r="C121" s="8"/>
      <c r="D121" s="9"/>
      <c r="E121" s="10"/>
      <c r="F121" s="11"/>
      <c r="G121" s="12"/>
      <c r="H121" s="14"/>
    </row>
    <row r="122" spans="1:8" x14ac:dyDescent="0.3">
      <c r="A122" s="8"/>
      <c r="B122" s="13"/>
      <c r="C122" s="8"/>
      <c r="D122" s="9"/>
      <c r="E122" s="10"/>
      <c r="F122" s="11"/>
      <c r="G122" s="12"/>
      <c r="H122" s="14"/>
    </row>
    <row r="123" spans="1:8" x14ac:dyDescent="0.3">
      <c r="A123" s="8"/>
      <c r="B123" s="13"/>
      <c r="C123" s="8"/>
      <c r="D123" s="9"/>
      <c r="E123" s="10"/>
      <c r="F123" s="11"/>
      <c r="G123" s="12"/>
      <c r="H123" s="14"/>
    </row>
    <row r="124" spans="1:8" x14ac:dyDescent="0.3">
      <c r="A124" s="8"/>
      <c r="B124" s="13"/>
      <c r="C124" s="8"/>
      <c r="D124" s="9"/>
      <c r="E124" s="10"/>
      <c r="F124" s="11"/>
      <c r="G124" s="12"/>
      <c r="H124" s="14"/>
    </row>
    <row r="125" spans="1:8" x14ac:dyDescent="0.3">
      <c r="A125" s="8"/>
      <c r="B125" s="13"/>
      <c r="C125" s="8"/>
      <c r="D125" s="9"/>
      <c r="E125" s="10"/>
      <c r="F125" s="11"/>
      <c r="G125" s="12"/>
      <c r="H125" s="14"/>
    </row>
    <row r="126" spans="1:8" x14ac:dyDescent="0.3">
      <c r="A126" s="8"/>
      <c r="B126" s="13"/>
      <c r="C126" s="8"/>
      <c r="D126" s="9"/>
      <c r="E126" s="10"/>
      <c r="F126" s="11"/>
      <c r="G126" s="12"/>
      <c r="H126" s="14"/>
    </row>
    <row r="127" spans="1:8" x14ac:dyDescent="0.3">
      <c r="A127" s="8"/>
      <c r="B127" s="13"/>
      <c r="C127" s="8"/>
      <c r="D127" s="9"/>
      <c r="E127" s="10"/>
      <c r="F127" s="11"/>
      <c r="G127" s="12"/>
      <c r="H127" s="14"/>
    </row>
    <row r="128" spans="1:8" x14ac:dyDescent="0.3">
      <c r="A128" s="8"/>
      <c r="B128" s="13"/>
      <c r="C128" s="8"/>
      <c r="D128" s="9"/>
      <c r="E128" s="10"/>
      <c r="F128" s="11"/>
      <c r="G128" s="12"/>
      <c r="H128" s="14"/>
    </row>
    <row r="129" spans="1:8" x14ac:dyDescent="0.3">
      <c r="A129" s="8"/>
      <c r="B129" s="13"/>
      <c r="C129" s="8"/>
      <c r="D129" s="9"/>
      <c r="E129" s="10"/>
      <c r="F129" s="11"/>
      <c r="G129" s="12"/>
      <c r="H129" s="14"/>
    </row>
    <row r="130" spans="1:8" x14ac:dyDescent="0.3">
      <c r="A130" s="8"/>
      <c r="B130" s="13"/>
      <c r="C130" s="8"/>
      <c r="D130" s="9"/>
      <c r="E130" s="10"/>
      <c r="F130" s="11"/>
      <c r="G130" s="12"/>
      <c r="H130" s="14"/>
    </row>
    <row r="131" spans="1:8" x14ac:dyDescent="0.3">
      <c r="A131" s="8"/>
      <c r="B131" s="13"/>
      <c r="C131" s="8"/>
      <c r="D131" s="9"/>
      <c r="E131" s="10"/>
      <c r="F131" s="11"/>
      <c r="G131" s="12"/>
      <c r="H131" s="14"/>
    </row>
    <row r="132" spans="1:8" x14ac:dyDescent="0.3">
      <c r="A132" s="8"/>
      <c r="B132" s="13"/>
      <c r="C132" s="8"/>
      <c r="D132" s="9"/>
      <c r="E132" s="10"/>
      <c r="F132" s="11"/>
      <c r="G132" s="12"/>
      <c r="H132" s="14"/>
    </row>
    <row r="133" spans="1:8" x14ac:dyDescent="0.3">
      <c r="A133" s="8"/>
      <c r="B133" s="13"/>
      <c r="C133" s="8"/>
      <c r="D133" s="9"/>
      <c r="E133" s="10"/>
      <c r="F133" s="11"/>
      <c r="G133" s="12"/>
      <c r="H133" s="14"/>
    </row>
    <row r="134" spans="1:8" x14ac:dyDescent="0.3">
      <c r="A134" s="8"/>
      <c r="B134" s="13"/>
      <c r="C134" s="8"/>
      <c r="D134" s="9"/>
      <c r="E134" s="10"/>
      <c r="F134" s="11"/>
      <c r="G134" s="12"/>
      <c r="H134" s="14"/>
    </row>
    <row r="135" spans="1:8" x14ac:dyDescent="0.3">
      <c r="A135" s="8"/>
      <c r="B135" s="13"/>
      <c r="C135" s="8"/>
      <c r="D135" s="9"/>
      <c r="E135" s="10"/>
      <c r="F135" s="11"/>
      <c r="G135" s="12"/>
      <c r="H135" s="14"/>
    </row>
    <row r="136" spans="1:8" x14ac:dyDescent="0.3">
      <c r="A136" s="8"/>
      <c r="B136" s="13"/>
      <c r="C136" s="8"/>
      <c r="D136" s="9"/>
      <c r="E136" s="10"/>
      <c r="F136" s="11"/>
      <c r="G136" s="12"/>
      <c r="H136" s="14"/>
    </row>
    <row r="137" spans="1:8" x14ac:dyDescent="0.3">
      <c r="A137" s="8"/>
      <c r="B137" s="13"/>
      <c r="C137" s="8"/>
      <c r="D137" s="9"/>
      <c r="E137" s="10"/>
      <c r="F137" s="11"/>
      <c r="G137" s="12"/>
      <c r="H137" s="14"/>
    </row>
    <row r="138" spans="1:8" x14ac:dyDescent="0.3">
      <c r="A138" s="8"/>
      <c r="B138" s="13"/>
      <c r="C138" s="8"/>
      <c r="D138" s="9"/>
      <c r="E138" s="10"/>
      <c r="F138" s="11"/>
      <c r="G138" s="12"/>
      <c r="H138" s="14"/>
    </row>
    <row r="139" spans="1:8" x14ac:dyDescent="0.3">
      <c r="A139" s="8"/>
      <c r="B139" s="13"/>
      <c r="C139" s="8"/>
      <c r="D139" s="9"/>
      <c r="E139" s="10"/>
      <c r="F139" s="11"/>
      <c r="G139" s="12"/>
      <c r="H139" s="14"/>
    </row>
    <row r="140" spans="1:8" x14ac:dyDescent="0.3">
      <c r="A140" s="8"/>
      <c r="B140" s="13"/>
      <c r="C140" s="8"/>
      <c r="D140" s="9"/>
      <c r="E140" s="10"/>
      <c r="F140" s="11"/>
      <c r="G140" s="12"/>
      <c r="H140" s="14"/>
    </row>
    <row r="141" spans="1:8" x14ac:dyDescent="0.3">
      <c r="A141" s="8"/>
      <c r="B141" s="13"/>
      <c r="C141" s="8"/>
      <c r="D141" s="9"/>
      <c r="E141" s="10"/>
      <c r="F141" s="11"/>
      <c r="G141" s="12"/>
      <c r="H141" s="14"/>
    </row>
    <row r="142" spans="1:8" x14ac:dyDescent="0.3">
      <c r="A142" s="8"/>
      <c r="B142" s="13"/>
      <c r="C142" s="8"/>
      <c r="D142" s="9"/>
      <c r="E142" s="10"/>
      <c r="F142" s="11"/>
      <c r="G142" s="12"/>
      <c r="H142" s="14"/>
    </row>
    <row r="143" spans="1:8" x14ac:dyDescent="0.3">
      <c r="A143" s="8"/>
      <c r="B143" s="13"/>
      <c r="C143" s="8"/>
      <c r="D143" s="9"/>
      <c r="E143" s="10"/>
      <c r="F143" s="11"/>
      <c r="G143" s="12"/>
      <c r="H143" s="14"/>
    </row>
    <row r="144" spans="1:8" x14ac:dyDescent="0.3">
      <c r="A144" s="8"/>
      <c r="B144" s="13"/>
      <c r="C144" s="8"/>
      <c r="D144" s="9"/>
      <c r="E144" s="10"/>
      <c r="F144" s="11"/>
      <c r="G144" s="12"/>
      <c r="H144" s="14"/>
    </row>
    <row r="145" spans="1:8" x14ac:dyDescent="0.3">
      <c r="A145" s="8"/>
      <c r="B145" s="13"/>
      <c r="C145" s="8"/>
      <c r="D145" s="9"/>
      <c r="E145" s="10"/>
      <c r="F145" s="11"/>
      <c r="G145" s="12"/>
      <c r="H145" s="14"/>
    </row>
    <row r="146" spans="1:8" x14ac:dyDescent="0.3">
      <c r="A146" s="8"/>
      <c r="B146" s="13"/>
      <c r="C146" s="8"/>
      <c r="D146" s="9"/>
      <c r="E146" s="10"/>
      <c r="F146" s="11"/>
      <c r="G146" s="12"/>
      <c r="H146" s="14"/>
    </row>
    <row r="147" spans="1:8" x14ac:dyDescent="0.3">
      <c r="A147" s="8"/>
      <c r="B147" s="13"/>
      <c r="C147" s="8"/>
      <c r="D147" s="9"/>
      <c r="E147" s="10"/>
      <c r="F147" s="11"/>
      <c r="G147" s="12"/>
      <c r="H147" s="14"/>
    </row>
    <row r="148" spans="1:8" x14ac:dyDescent="0.3">
      <c r="A148" s="8"/>
      <c r="B148" s="13"/>
      <c r="C148" s="8"/>
      <c r="D148" s="9"/>
      <c r="E148" s="10"/>
      <c r="F148" s="11"/>
      <c r="G148" s="12"/>
      <c r="H148" s="14"/>
    </row>
    <row r="149" spans="1:8" x14ac:dyDescent="0.3">
      <c r="A149" s="8"/>
      <c r="B149" s="13"/>
      <c r="C149" s="8"/>
      <c r="D149" s="9"/>
      <c r="E149" s="10"/>
      <c r="F149" s="11"/>
      <c r="G149" s="12"/>
      <c r="H149" s="14"/>
    </row>
    <row r="150" spans="1:8" x14ac:dyDescent="0.3">
      <c r="A150" s="8"/>
      <c r="B150" s="13"/>
      <c r="C150" s="8"/>
      <c r="D150" s="9"/>
      <c r="E150" s="10"/>
      <c r="F150" s="11"/>
      <c r="G150" s="12"/>
      <c r="H150" s="14"/>
    </row>
    <row r="151" spans="1:8" x14ac:dyDescent="0.3">
      <c r="A151" s="8"/>
      <c r="B151" s="13"/>
      <c r="C151" s="8"/>
      <c r="D151" s="9"/>
      <c r="E151" s="10"/>
      <c r="F151" s="11"/>
      <c r="G151" s="12"/>
      <c r="H151" s="14"/>
    </row>
    <row r="152" spans="1:8" x14ac:dyDescent="0.3">
      <c r="A152" s="8"/>
      <c r="B152" s="13"/>
      <c r="C152" s="8"/>
      <c r="D152" s="9"/>
      <c r="E152" s="10"/>
      <c r="F152" s="11"/>
      <c r="G152" s="12"/>
      <c r="H152" s="14"/>
    </row>
    <row r="153" spans="1:8" x14ac:dyDescent="0.3">
      <c r="A153" s="8"/>
      <c r="B153" s="13"/>
      <c r="C153" s="8"/>
      <c r="D153" s="9"/>
      <c r="E153" s="10"/>
      <c r="F153" s="11"/>
      <c r="G153" s="12"/>
      <c r="H153" s="14"/>
    </row>
    <row r="154" spans="1:8" x14ac:dyDescent="0.3">
      <c r="A154" s="8"/>
      <c r="B154" s="13"/>
      <c r="C154" s="8"/>
      <c r="D154" s="9"/>
      <c r="E154" s="10"/>
      <c r="F154" s="11"/>
      <c r="G154" s="12"/>
      <c r="H154" s="14"/>
    </row>
    <row r="155" spans="1:8" x14ac:dyDescent="0.3">
      <c r="A155" s="8"/>
      <c r="B155" s="13"/>
      <c r="C155" s="8"/>
      <c r="D155" s="9"/>
      <c r="E155" s="10"/>
      <c r="F155" s="11"/>
      <c r="G155" s="12"/>
      <c r="H155" s="14"/>
    </row>
    <row r="156" spans="1:8" x14ac:dyDescent="0.3">
      <c r="A156" s="8"/>
      <c r="B156" s="13"/>
      <c r="C156" s="8"/>
      <c r="D156" s="9"/>
      <c r="E156" s="10"/>
      <c r="F156" s="11"/>
      <c r="G156" s="12"/>
      <c r="H156" s="14"/>
    </row>
    <row r="157" spans="1:8" x14ac:dyDescent="0.3">
      <c r="A157" s="8"/>
      <c r="B157" s="13"/>
      <c r="C157" s="8"/>
      <c r="D157" s="9"/>
      <c r="E157" s="10"/>
      <c r="F157" s="11"/>
      <c r="G157" s="12"/>
      <c r="H157" s="14"/>
    </row>
    <row r="158" spans="1:8" x14ac:dyDescent="0.3">
      <c r="A158" s="8"/>
      <c r="B158" s="13"/>
      <c r="C158" s="8"/>
      <c r="D158" s="9"/>
      <c r="E158" s="10"/>
      <c r="F158" s="11"/>
      <c r="G158" s="12"/>
      <c r="H158" s="14"/>
    </row>
    <row r="159" spans="1:8" x14ac:dyDescent="0.3">
      <c r="A159" s="8"/>
      <c r="B159" s="13"/>
      <c r="C159" s="8"/>
      <c r="D159" s="9"/>
      <c r="E159" s="10"/>
      <c r="F159" s="11"/>
      <c r="G159" s="12"/>
      <c r="H159" s="14"/>
    </row>
    <row r="160" spans="1:8" x14ac:dyDescent="0.3">
      <c r="A160" s="8"/>
      <c r="B160" s="13"/>
      <c r="C160" s="8"/>
      <c r="D160" s="9"/>
      <c r="E160" s="10"/>
      <c r="F160" s="11"/>
      <c r="G160" s="12"/>
      <c r="H160" s="14"/>
    </row>
    <row r="161" spans="1:8" x14ac:dyDescent="0.3">
      <c r="A161" s="8"/>
      <c r="B161" s="13"/>
      <c r="C161" s="8"/>
      <c r="D161" s="9"/>
      <c r="E161" s="10"/>
      <c r="F161" s="11"/>
      <c r="G161" s="12"/>
      <c r="H161" s="14"/>
    </row>
    <row r="162" spans="1:8" x14ac:dyDescent="0.3">
      <c r="A162" s="8"/>
      <c r="B162" s="13"/>
      <c r="C162" s="8"/>
      <c r="D162" s="9"/>
      <c r="E162" s="10"/>
      <c r="F162" s="11"/>
      <c r="G162" s="12"/>
      <c r="H162" s="14"/>
    </row>
    <row r="163" spans="1:8" x14ac:dyDescent="0.3">
      <c r="A163" s="8"/>
      <c r="B163" s="13"/>
      <c r="C163" s="8"/>
      <c r="D163" s="9"/>
      <c r="E163" s="10"/>
      <c r="F163" s="11"/>
      <c r="G163" s="12"/>
      <c r="H163" s="14"/>
    </row>
    <row r="164" spans="1:8" x14ac:dyDescent="0.3">
      <c r="A164" s="8"/>
      <c r="B164" s="13"/>
      <c r="C164" s="8"/>
      <c r="D164" s="9"/>
      <c r="E164" s="10"/>
      <c r="F164" s="11"/>
      <c r="G164" s="12"/>
      <c r="H164" s="14"/>
    </row>
    <row r="165" spans="1:8" x14ac:dyDescent="0.3">
      <c r="A165" s="8"/>
      <c r="B165" s="13"/>
      <c r="C165" s="8"/>
      <c r="D165" s="9"/>
      <c r="E165" s="10"/>
      <c r="F165" s="11"/>
      <c r="G165" s="12"/>
      <c r="H165" s="14"/>
    </row>
    <row r="166" spans="1:8" x14ac:dyDescent="0.3">
      <c r="A166" s="8"/>
      <c r="B166" s="13"/>
      <c r="C166" s="8"/>
      <c r="D166" s="9"/>
      <c r="E166" s="10"/>
      <c r="F166" s="11"/>
      <c r="G166" s="12"/>
      <c r="H166" s="14"/>
    </row>
    <row r="167" spans="1:8" x14ac:dyDescent="0.3">
      <c r="A167" s="8"/>
      <c r="B167" s="13"/>
      <c r="C167" s="8"/>
      <c r="D167" s="9"/>
      <c r="E167" s="10"/>
      <c r="F167" s="11"/>
      <c r="G167" s="12"/>
      <c r="H167" s="14"/>
    </row>
    <row r="168" spans="1:8" x14ac:dyDescent="0.3">
      <c r="A168" s="8"/>
      <c r="B168" s="13"/>
      <c r="C168" s="8"/>
      <c r="D168" s="9"/>
      <c r="E168" s="10"/>
      <c r="F168" s="11"/>
      <c r="G168" s="12"/>
      <c r="H168" s="14"/>
    </row>
    <row r="169" spans="1:8" x14ac:dyDescent="0.3">
      <c r="A169" s="8"/>
      <c r="B169" s="13"/>
      <c r="C169" s="8"/>
      <c r="D169" s="9"/>
      <c r="E169" s="10"/>
      <c r="F169" s="11"/>
      <c r="G169" s="12"/>
      <c r="H169" s="14"/>
    </row>
    <row r="170" spans="1:8" x14ac:dyDescent="0.3">
      <c r="A170" s="8"/>
      <c r="B170" s="13"/>
      <c r="C170" s="8"/>
      <c r="D170" s="9"/>
      <c r="E170" s="10"/>
      <c r="F170" s="11"/>
      <c r="G170" s="12"/>
      <c r="H170" s="14"/>
    </row>
    <row r="171" spans="1:8" x14ac:dyDescent="0.3">
      <c r="A171" s="8"/>
      <c r="B171" s="13"/>
      <c r="C171" s="8"/>
      <c r="D171" s="9"/>
      <c r="E171" s="10"/>
      <c r="F171" s="11"/>
      <c r="G171" s="12"/>
      <c r="H171" s="14"/>
    </row>
    <row r="172" spans="1:8" x14ac:dyDescent="0.3">
      <c r="A172" s="8"/>
      <c r="B172" s="13"/>
      <c r="C172" s="8"/>
      <c r="D172" s="9"/>
      <c r="E172" s="10"/>
      <c r="F172" s="11"/>
      <c r="G172" s="12"/>
      <c r="H172" s="14"/>
    </row>
    <row r="173" spans="1:8" x14ac:dyDescent="0.3">
      <c r="A173" s="8"/>
      <c r="B173" s="13"/>
      <c r="C173" s="8"/>
      <c r="D173" s="9"/>
      <c r="E173" s="10"/>
      <c r="F173" s="11"/>
      <c r="G173" s="12"/>
      <c r="H173" s="14"/>
    </row>
    <row r="174" spans="1:8" x14ac:dyDescent="0.3">
      <c r="A174" s="8"/>
      <c r="B174" s="13"/>
      <c r="C174" s="8"/>
      <c r="D174" s="9"/>
      <c r="E174" s="10"/>
      <c r="F174" s="11"/>
      <c r="G174" s="12"/>
      <c r="H174" s="14"/>
    </row>
    <row r="175" spans="1:8" x14ac:dyDescent="0.3">
      <c r="A175" s="8"/>
      <c r="B175" s="13"/>
      <c r="C175" s="8"/>
      <c r="D175" s="9"/>
      <c r="E175" s="10"/>
      <c r="F175" s="11"/>
      <c r="G175" s="12"/>
      <c r="H175" s="14"/>
    </row>
    <row r="176" spans="1:8" x14ac:dyDescent="0.3">
      <c r="A176" s="8"/>
      <c r="B176" s="13"/>
      <c r="C176" s="8"/>
      <c r="D176" s="9"/>
      <c r="E176" s="10"/>
      <c r="F176" s="11"/>
      <c r="G176" s="12"/>
      <c r="H176" s="14"/>
    </row>
    <row r="177" spans="1:8" x14ac:dyDescent="0.3">
      <c r="A177" s="8"/>
      <c r="B177" s="13"/>
      <c r="C177" s="8"/>
      <c r="D177" s="9"/>
      <c r="E177" s="10"/>
      <c r="F177" s="11"/>
      <c r="G177" s="12"/>
      <c r="H177" s="14"/>
    </row>
    <row r="178" spans="1:8" x14ac:dyDescent="0.3">
      <c r="A178" s="8"/>
      <c r="B178" s="13"/>
      <c r="C178" s="8"/>
      <c r="D178" s="9"/>
      <c r="E178" s="10"/>
      <c r="F178" s="11"/>
      <c r="G178" s="12"/>
      <c r="H178" s="14"/>
    </row>
    <row r="179" spans="1:8" x14ac:dyDescent="0.3">
      <c r="A179" s="8"/>
      <c r="B179" s="13"/>
      <c r="C179" s="8"/>
      <c r="D179" s="9"/>
      <c r="E179" s="10"/>
      <c r="F179" s="11"/>
      <c r="G179" s="12"/>
      <c r="H179" s="14"/>
    </row>
    <row r="180" spans="1:8" x14ac:dyDescent="0.3">
      <c r="A180" s="8"/>
      <c r="B180" s="13"/>
      <c r="C180" s="8"/>
      <c r="D180" s="9"/>
      <c r="E180" s="10"/>
      <c r="F180" s="11"/>
      <c r="G180" s="12"/>
      <c r="H180" s="14"/>
    </row>
    <row r="181" spans="1:8" x14ac:dyDescent="0.3">
      <c r="A181" s="8"/>
      <c r="B181" s="13"/>
      <c r="C181" s="8"/>
      <c r="D181" s="9"/>
      <c r="E181" s="10"/>
      <c r="F181" s="11"/>
      <c r="G181" s="12"/>
      <c r="H181" s="14"/>
    </row>
    <row r="182" spans="1:8" x14ac:dyDescent="0.3">
      <c r="A182" s="8"/>
      <c r="B182" s="13"/>
      <c r="C182" s="8"/>
      <c r="D182" s="9"/>
      <c r="E182" s="10"/>
      <c r="F182" s="11"/>
      <c r="G182" s="12"/>
      <c r="H182" s="14"/>
    </row>
    <row r="183" spans="1:8" x14ac:dyDescent="0.3">
      <c r="A183" s="8"/>
      <c r="B183" s="13"/>
      <c r="C183" s="8"/>
      <c r="D183" s="9"/>
      <c r="E183" s="10"/>
      <c r="F183" s="11"/>
      <c r="G183" s="12"/>
      <c r="H183" s="14"/>
    </row>
    <row r="184" spans="1:8" x14ac:dyDescent="0.3">
      <c r="A184" s="8"/>
      <c r="B184" s="13"/>
      <c r="C184" s="8"/>
      <c r="D184" s="9"/>
      <c r="E184" s="10"/>
      <c r="F184" s="11"/>
      <c r="G184" s="12"/>
      <c r="H184" s="14"/>
    </row>
    <row r="185" spans="1:8" x14ac:dyDescent="0.3">
      <c r="A185" s="8"/>
      <c r="B185" s="13"/>
      <c r="C185" s="8"/>
      <c r="D185" s="9"/>
      <c r="E185" s="10"/>
      <c r="F185" s="11"/>
      <c r="G185" s="12"/>
      <c r="H185" s="14"/>
    </row>
    <row r="186" spans="1:8" x14ac:dyDescent="0.3">
      <c r="A186" s="8"/>
      <c r="B186" s="13"/>
      <c r="C186" s="8"/>
      <c r="D186" s="9"/>
      <c r="E186" s="10"/>
      <c r="F186" s="11"/>
      <c r="G186" s="12"/>
      <c r="H186" s="14"/>
    </row>
    <row r="187" spans="1:8" x14ac:dyDescent="0.3">
      <c r="A187" s="8"/>
      <c r="B187" s="13"/>
      <c r="C187" s="8"/>
      <c r="D187" s="9"/>
      <c r="E187" s="10"/>
      <c r="F187" s="11"/>
      <c r="G187" s="12"/>
      <c r="H187" s="14"/>
    </row>
    <row r="188" spans="1:8" x14ac:dyDescent="0.3">
      <c r="A188" s="8"/>
      <c r="B188" s="13"/>
      <c r="C188" s="8"/>
      <c r="D188" s="9"/>
      <c r="E188" s="10"/>
      <c r="F188" s="11"/>
      <c r="G188" s="12"/>
      <c r="H188" s="14"/>
    </row>
    <row r="189" spans="1:8" x14ac:dyDescent="0.3">
      <c r="A189" s="8"/>
      <c r="B189" s="13"/>
      <c r="C189" s="8"/>
      <c r="D189" s="9"/>
      <c r="E189" s="10"/>
      <c r="F189" s="11"/>
      <c r="G189" s="12"/>
      <c r="H189" s="14"/>
    </row>
    <row r="190" spans="1:8" x14ac:dyDescent="0.3">
      <c r="A190" s="8"/>
      <c r="B190" s="13"/>
      <c r="C190" s="8"/>
      <c r="D190" s="9"/>
      <c r="E190" s="10"/>
      <c r="F190" s="11"/>
      <c r="G190" s="12"/>
      <c r="H190" s="14"/>
    </row>
    <row r="191" spans="1:8" x14ac:dyDescent="0.3">
      <c r="A191" s="8"/>
      <c r="B191" s="13"/>
      <c r="C191" s="8"/>
      <c r="D191" s="9"/>
      <c r="E191" s="10"/>
      <c r="F191" s="11"/>
      <c r="G191" s="12"/>
      <c r="H191" s="14"/>
    </row>
    <row r="192" spans="1:8" x14ac:dyDescent="0.3">
      <c r="A192" s="8"/>
      <c r="B192" s="13"/>
      <c r="C192" s="8"/>
      <c r="D192" s="9"/>
      <c r="E192" s="10"/>
      <c r="F192" s="11"/>
      <c r="G192" s="12"/>
      <c r="H192" s="14"/>
    </row>
    <row r="193" spans="1:8" x14ac:dyDescent="0.3">
      <c r="A193" s="8"/>
      <c r="B193" s="13"/>
      <c r="C193" s="8"/>
      <c r="D193" s="9"/>
      <c r="E193" s="10"/>
      <c r="F193" s="11"/>
      <c r="G193" s="12"/>
      <c r="H193" s="14"/>
    </row>
    <row r="194" spans="1:8" x14ac:dyDescent="0.3">
      <c r="A194" s="8"/>
      <c r="B194" s="13"/>
      <c r="C194" s="8"/>
      <c r="D194" s="9"/>
      <c r="E194" s="10"/>
      <c r="F194" s="11"/>
      <c r="G194" s="12"/>
      <c r="H194" s="14"/>
    </row>
    <row r="195" spans="1:8" x14ac:dyDescent="0.3">
      <c r="A195" s="8"/>
      <c r="B195" s="13"/>
      <c r="C195" s="8"/>
      <c r="D195" s="9"/>
      <c r="E195" s="10"/>
      <c r="F195" s="11"/>
      <c r="G195" s="12"/>
      <c r="H195" s="14"/>
    </row>
    <row r="196" spans="1:8" x14ac:dyDescent="0.3">
      <c r="A196" s="8"/>
      <c r="B196" s="13"/>
      <c r="C196" s="8"/>
      <c r="D196" s="9"/>
      <c r="E196" s="10"/>
      <c r="F196" s="11"/>
      <c r="G196" s="12"/>
      <c r="H196" s="14"/>
    </row>
    <row r="197" spans="1:8" x14ac:dyDescent="0.3">
      <c r="A197" s="8"/>
      <c r="B197" s="13"/>
      <c r="C197" s="8"/>
      <c r="D197" s="9"/>
      <c r="E197" s="10"/>
      <c r="F197" s="11"/>
      <c r="G197" s="12"/>
      <c r="H197" s="14"/>
    </row>
    <row r="198" spans="1:8" x14ac:dyDescent="0.3">
      <c r="A198" s="8"/>
      <c r="B198" s="13"/>
      <c r="C198" s="8"/>
      <c r="D198" s="9"/>
      <c r="E198" s="10"/>
      <c r="F198" s="11"/>
      <c r="G198" s="12"/>
      <c r="H198" s="14"/>
    </row>
    <row r="199" spans="1:8" x14ac:dyDescent="0.3">
      <c r="A199" s="8"/>
      <c r="B199" s="13"/>
      <c r="C199" s="8"/>
      <c r="D199" s="9"/>
      <c r="E199" s="10"/>
      <c r="F199" s="11"/>
      <c r="G199" s="12"/>
      <c r="H199" s="14"/>
    </row>
    <row r="200" spans="1:8" x14ac:dyDescent="0.3">
      <c r="A200" s="8"/>
      <c r="B200" s="13"/>
      <c r="C200" s="8"/>
      <c r="D200" s="9"/>
      <c r="E200" s="10"/>
      <c r="F200" s="11"/>
      <c r="G200" s="12"/>
      <c r="H200" s="14"/>
    </row>
    <row r="201" spans="1:8" x14ac:dyDescent="0.3">
      <c r="A201" s="8"/>
      <c r="B201" s="13"/>
      <c r="C201" s="8"/>
      <c r="D201" s="9"/>
      <c r="E201" s="10"/>
      <c r="F201" s="11"/>
      <c r="G201" s="12"/>
      <c r="H201" s="14"/>
    </row>
    <row r="202" spans="1:8" x14ac:dyDescent="0.3">
      <c r="A202" s="8"/>
      <c r="B202" s="13"/>
      <c r="C202" s="8"/>
      <c r="D202" s="9"/>
      <c r="E202" s="10"/>
      <c r="F202" s="11"/>
      <c r="G202" s="12"/>
      <c r="H202" s="14"/>
    </row>
    <row r="203" spans="1:8" x14ac:dyDescent="0.3">
      <c r="A203" s="8"/>
      <c r="B203" s="13"/>
      <c r="C203" s="8"/>
      <c r="D203" s="9"/>
      <c r="E203" s="10"/>
      <c r="F203" s="11"/>
      <c r="G203" s="12"/>
      <c r="H203" s="14"/>
    </row>
    <row r="204" spans="1:8" x14ac:dyDescent="0.3">
      <c r="A204" s="8"/>
      <c r="B204" s="13"/>
      <c r="C204" s="8"/>
      <c r="D204" s="9"/>
      <c r="E204" s="10"/>
      <c r="F204" s="11"/>
      <c r="G204" s="12"/>
      <c r="H204" s="14"/>
    </row>
    <row r="205" spans="1:8" x14ac:dyDescent="0.3">
      <c r="A205" s="8"/>
      <c r="B205" s="13"/>
      <c r="C205" s="8"/>
      <c r="D205" s="9"/>
      <c r="E205" s="10"/>
      <c r="F205" s="11"/>
      <c r="G205" s="12"/>
      <c r="H205" s="14"/>
    </row>
    <row r="206" spans="1:8" x14ac:dyDescent="0.3">
      <c r="A206" s="8"/>
      <c r="B206" s="13"/>
      <c r="C206" s="8"/>
      <c r="D206" s="9"/>
      <c r="E206" s="10"/>
      <c r="F206" s="11"/>
      <c r="G206" s="12"/>
      <c r="H206" s="14"/>
    </row>
    <row r="207" spans="1:8" x14ac:dyDescent="0.3">
      <c r="A207" s="8"/>
      <c r="B207" s="13"/>
      <c r="C207" s="8"/>
      <c r="D207" s="9"/>
      <c r="E207" s="10"/>
      <c r="F207" s="11"/>
      <c r="G207" s="12"/>
      <c r="H207" s="14"/>
    </row>
    <row r="208" spans="1:8" x14ac:dyDescent="0.3">
      <c r="A208" s="8"/>
      <c r="B208" s="13"/>
      <c r="C208" s="8"/>
      <c r="D208" s="9"/>
      <c r="E208" s="10"/>
      <c r="F208" s="11"/>
      <c r="G208" s="12"/>
      <c r="H208" s="14"/>
    </row>
    <row r="209" spans="1:8" x14ac:dyDescent="0.3">
      <c r="A209" s="8"/>
      <c r="B209" s="13"/>
      <c r="C209" s="8"/>
      <c r="D209" s="9"/>
      <c r="E209" s="10"/>
      <c r="F209" s="11"/>
      <c r="G209" s="12"/>
      <c r="H209" s="14"/>
    </row>
  </sheetData>
  <mergeCells count="11">
    <mergeCell ref="A6:B7"/>
    <mergeCell ref="C6:D7"/>
    <mergeCell ref="E6:F7"/>
    <mergeCell ref="G6:H7"/>
    <mergeCell ref="A8:H8"/>
    <mergeCell ref="A1:H1"/>
    <mergeCell ref="B3:H3"/>
    <mergeCell ref="A5:B5"/>
    <mergeCell ref="C5:D5"/>
    <mergeCell ref="E5:F5"/>
    <mergeCell ref="G5:H5"/>
  </mergeCells>
  <conditionalFormatting sqref="E10:E209">
    <cfRule type="colorScale" priority="1">
      <colorScale>
        <cfvo type="min"/>
        <cfvo type="percentile" val="50"/>
        <cfvo type="max"/>
        <color rgb="FFFEE2E2"/>
        <color rgb="FFFEF9C3"/>
        <color rgb="FFDCFCE7"/>
      </colorScale>
    </cfRule>
  </conditionalFormatting>
  <conditionalFormatting sqref="F10:F209">
    <cfRule type="colorScale" priority="2">
      <colorScale>
        <cfvo type="min"/>
        <cfvo type="percentile" val="50"/>
        <cfvo type="max"/>
        <color rgb="FFFEE2E2"/>
        <color rgb="FFFEF9C3"/>
        <color rgb="FFDCFCE7"/>
      </colorScale>
    </cfRule>
  </conditionalFormatting>
  <dataValidations count="3">
    <dataValidation type="decimal" allowBlank="1" showInputMessage="1" showErrorMessage="1" errorTitle="Giá trị không hợp lệ" error="Nhập điểm từ 0 đến 10." sqref="F10:F209" xr:uid="{162449DF-CB3D-47B3-BCBE-4FDAD2296C70}">
      <formula1>0</formula1>
      <formula2>10</formula2>
    </dataValidation>
    <dataValidation type="decimal" allowBlank="1" showInputMessage="1" showErrorMessage="1" errorTitle="Giá trị không hợp lệ" error="Nhập phần trăm từ 0% đến 100%." sqref="E10:E209" xr:uid="{027FAC0D-AFAF-4ECC-82FE-6D4B2043EB60}">
      <formula1>0</formula1>
      <formula2>1</formula2>
    </dataValidation>
    <dataValidation type="list" allowBlank="1" showInputMessage="1" showErrorMessage="1" errorTitle="Trạng thái không hợp lệ" error="Chọn một trạng thái trong danh sách." sqref="D10:D209" xr:uid="{63542EE0-2720-4657-B55B-57DCC47648EA}">
      <mc:AlternateContent xmlns:x12ac="http://schemas.microsoft.com/office/spreadsheetml/2011/1/ac" xmlns:mc="http://schemas.openxmlformats.org/markup-compatibility/2006">
        <mc:Choice Requires="x12ac">
          <x12ac:list>"Chưa bắt đầu,Đang học,Đã hoàn thành,Tạm dừng"</x12ac:list>
        </mc:Choice>
        <mc:Fallback>
          <formula1>"Chưa bắt đầu,Đang học,Đã hoàn thành,Tạm dừng"</formula1>
        </mc:Fallback>
      </mc:AlternateContent>
    </dataValidation>
  </dataValidations>
  <hyperlinks>
    <hyperlink ref="B3" r:id="rId1" display="01 - AI &amp; Dữ liệu/01 - AI Engineering &amp; LLM/alphaagent-llm-driven-alpha-mining.zip" xr:uid="{C735D8D4-6D80-427A-A6E7-A99456430FFD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80</vt:i4>
      </vt:variant>
    </vt:vector>
  </HeadingPairs>
  <TitlesOfParts>
    <vt:vector size="80" baseType="lpstr">
      <vt:lpstr>TỔNG QUAN</vt:lpstr>
      <vt:lpstr>HƯỚNG DẪN</vt:lpstr>
      <vt:lpstr>C74 Tự học phát âm tiếng Anh</vt:lpstr>
      <vt:lpstr>MẪU_KHÓA_MỚI</vt:lpstr>
      <vt:lpstr>C73 Creative Writing- How to Wr</vt:lpstr>
      <vt:lpstr>C72 nutrition-masterclass-build</vt:lpstr>
      <vt:lpstr>C71 technical-writer-roadmap</vt:lpstr>
      <vt:lpstr>C70 devrel-roadmap</vt:lpstr>
      <vt:lpstr>C69 product-manager-roadmap</vt:lpstr>
      <vt:lpstr>C68 engineering-manager-roadmap</vt:lpstr>
      <vt:lpstr>C67 Khóa học Tiếng Hàn toàn diệ</vt:lpstr>
      <vt:lpstr>C66 Tiếng Đức giao tiếp từ A1 đ</vt:lpstr>
      <vt:lpstr>C65 Complete French Course — Kh</vt:lpstr>
      <vt:lpstr>C64 Learn Japanese for Beginner</vt:lpstr>
      <vt:lpstr>C63 Mandarin Mastery Path — Tiế</vt:lpstr>
      <vt:lpstr>C62 Khóa học Tiếng Trung — Giáo</vt:lpstr>
      <vt:lpstr>C61 Từ vựng tiếng Anh cơ bản</vt:lpstr>
      <vt:lpstr>C60 Tự học 2.000 từ vựng tiếng</vt:lpstr>
      <vt:lpstr>C59 The English Master Course-</vt:lpstr>
      <vt:lpstr>C58 Pixel Art Master Course - B</vt:lpstr>
      <vt:lpstr>C57 server-side-game-developer-</vt:lpstr>
      <vt:lpstr>C56 game-developer-roadmap</vt:lpstr>
      <vt:lpstr>C55 Indie Game Design - Build Y</vt:lpstr>
      <vt:lpstr>C54 Ren'Py Minigames 101</vt:lpstr>
      <vt:lpstr>C53 Python Basics for Ren'Py De</vt:lpstr>
      <vt:lpstr>C52 Mastering Ren'Py- Create Vi</vt:lpstr>
      <vt:lpstr>C51 Complete C# Unity 3D Game D</vt:lpstr>
      <vt:lpstr>C50 Complete C# Unity 2D Game D</vt:lpstr>
      <vt:lpstr>C49 05 - Cơ học &amp; thủy động lực</vt:lpstr>
      <vt:lpstr>C48 04 - Giải phẫu &amp; phát triển</vt:lpstr>
      <vt:lpstr>C47 03 - VFX &amp; mô phỏng Blender</vt:lpstr>
      <vt:lpstr>C46 02 - Animation cá trong Ble</vt:lpstr>
      <vt:lpstr>C45 01 - Blender tổng quát</vt:lpstr>
      <vt:lpstr>C44 From Figma to Cursor &amp; Clau</vt:lpstr>
      <vt:lpstr>C43 Converting Figma Designs to</vt:lpstr>
      <vt:lpstr>C42 Figma to Angular Mastery- D</vt:lpstr>
      <vt:lpstr>C41 Vibe-Coding Figma Design Sy</vt:lpstr>
      <vt:lpstr>C40 Design to Code with Figma M</vt:lpstr>
      <vt:lpstr>C39 Claude Code + Figma MCP Ser</vt:lpstr>
      <vt:lpstr>C38 The Complete Vibe coding fo</vt:lpstr>
      <vt:lpstr>C37 ux-design-roadmap</vt:lpstr>
      <vt:lpstr>C36 Design System &amp; Figma Varia</vt:lpstr>
      <vt:lpstr>C35 Build a Design System - Ful</vt:lpstr>
      <vt:lpstr>C34 blockchain-roadmap</vt:lpstr>
      <vt:lpstr>C33 devsecops-roadmap</vt:lpstr>
      <vt:lpstr>C32 Cyber Security Expert Roadm</vt:lpstr>
      <vt:lpstr>C31 network-engineer-roadmap</vt:lpstr>
      <vt:lpstr>C30 Fundamentals of Backend Com</vt:lpstr>
      <vt:lpstr>C29 qa-roadmap</vt:lpstr>
      <vt:lpstr>C28 software-architect-roadmap</vt:lpstr>
      <vt:lpstr>C27 Enterprise Integration Engi</vt:lpstr>
      <vt:lpstr>C26 ios-roadmap</vt:lpstr>
      <vt:lpstr>C25 Flutter &amp; Dart- The Complet</vt:lpstr>
      <vt:lpstr>C24 3-in-1 Flutter AI Mastercla</vt:lpstr>
      <vt:lpstr>C23 Android Developer Roadmap C</vt:lpstr>
      <vt:lpstr>C22 postgresql-dba-roadmap</vt:lpstr>
      <vt:lpstr>C21 NodeJS - The Complete Guide</vt:lpstr>
      <vt:lpstr>C20 full-stack-developer-roadma</vt:lpstr>
      <vt:lpstr>C19 frontend-developer-roadmap</vt:lpstr>
      <vt:lpstr>C18 Backend Developer Roadmap W</vt:lpstr>
      <vt:lpstr>C17 Khóa Học Vibe Coding Cơ Bản</vt:lpstr>
      <vt:lpstr>C16 khoa-hoc-vibe-coding</vt:lpstr>
      <vt:lpstr>C15 Claude Code - The Practical</vt:lpstr>
      <vt:lpstr>C14 The Complete Claude Code &amp;</vt:lpstr>
      <vt:lpstr>C13 claude-aiagents-cowork-mast</vt:lpstr>
      <vt:lpstr>C12 AI Coder- Complete Claude C</vt:lpstr>
      <vt:lpstr>C11 machine-learning-roadmap</vt:lpstr>
      <vt:lpstr>C10 Khóa Học Tính Toán Tiến Hóa</vt:lpstr>
      <vt:lpstr>C09 data-engineer-roadmap</vt:lpstr>
      <vt:lpstr>C08 data-analyst-roadmap</vt:lpstr>
      <vt:lpstr>C07 bi-analyst-roadmap</vt:lpstr>
      <vt:lpstr>C06 AI &amp; Data Scientist Roadmap</vt:lpstr>
      <vt:lpstr>C05 Ultimate RAG Bootcamp Using</vt:lpstr>
      <vt:lpstr>C04 Basic to Advanced- Retrieva</vt:lpstr>
      <vt:lpstr>C03 LangChain - Agentic AI Engi</vt:lpstr>
      <vt:lpstr>C02 AI Engineer Roadmap Course</vt:lpstr>
      <vt:lpstr>C01 AI Agent 365 Ngày</vt:lpstr>
      <vt:lpstr>C75 English Pronunciation</vt:lpstr>
      <vt:lpstr>C76 Phát âm — Kỹ năng đọc</vt:lpstr>
      <vt:lpstr>C77 AlphaAgent — Alpha Mining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An Khanh 20210479</dc:creator>
  <cp:lastModifiedBy>Tran An Khanh 20210479</cp:lastModifiedBy>
  <dcterms:created xsi:type="dcterms:W3CDTF">2026-09-09T13:56:46Z</dcterms:created>
  <dcterms:modified xsi:type="dcterms:W3CDTF">2026-09-09T16:27:46Z</dcterms:modified>
</cp:coreProperties>
</file>